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c558666a0d167a4/Documents/Visual Basic for Applications/Barcodes/"/>
    </mc:Choice>
  </mc:AlternateContent>
  <xr:revisionPtr revIDLastSave="196" documentId="8_{91D5655A-35CE-478F-8584-6998E53DFB72}" xr6:coauthVersionLast="46" xr6:coauthVersionMax="46" xr10:uidLastSave="{C458322E-FDDA-4AC0-BD30-90E57908268F}"/>
  <bookViews>
    <workbookView xWindow="-108" yWindow="-108" windowWidth="23256" windowHeight="12576" xr2:uid="{0396B224-88E3-4F55-A0D6-069E690A6C6A}"/>
  </bookViews>
  <sheets>
    <sheet name="Sheet1" sheetId="1" r:id="rId1"/>
    <sheet name="Sheet2" sheetId="2" r:id="rId2"/>
  </sheets>
  <functionGroups builtInGroupCount="19">
    <functionGroup name="Barcode"/>
  </functionGroup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be encoded.</x14:argumentDescription>
            <x14:argumentDescription index="1">OPTIONAL Percentage of checkwords used for security (1% to 90%) [Default=23%].</x14:argumentDescription>
            <x14:argumentDescription index="2">OPTIONAL Number of layers (0 to 32) [Default=1]</x14:argumentDescription>
          </x14:argumentDescriptions>
        </x14:definedName>
        <x14:definedName name="Code11">
          <x14:argumentDescriptions count="1">
            <x14:argumentDescription index="0">Text to be encoded.</x14:argumentDescription>
          </x14:argumentDescriptions>
        </x14:definedName>
        <x14:definedName name="Code128">
          <x14:argumentDescriptions count="1">
            <x14:argumentDescription index="0">Text to be encoded.</x14:argumentDescription>
          </x14:argumentDescriptions>
        </x14:definedName>
        <x14:definedName name="Code39">
          <x14:argumentDescriptions count="2">
            <x14:argumentDescription index="0">Text to be encoded.</x14:argumentDescription>
            <x14:argumentDescription index="1">OPTIONAL Include check digit [Default=False]</x14:argumentDescription>
          </x14:argumentDescriptions>
        </x14:definedName>
        <x14:definedName name="Code93">
          <x14:argumentDescriptions count="1">
            <x14:argumentDescription index="0">Text to be encoded.</x14:argumentDescription>
          </x14:argumentDescriptions>
        </x14:definedName>
        <x14:definedName name="CODEXCIII">
          <x14:argumentDescriptions count="1">
            <x14:argumentDescription index="0">Text to be encoded.</x14:argumentDescription>
          </x14:argumentDescriptions>
        </x14:definedName>
        <x14:definedName name="CodeXI">
          <x14:argumentDescriptions count="1">
            <x14:argumentDescription index="0">Text to be encoded.</x14:argumentDescription>
          </x14:argumentDescriptions>
        </x14:definedName>
        <x14:definedName name="CodeXXXIX">
          <x14:argumentDescriptions count="1">
            <x14:argumentDescription index="0">Text to be encoded.</x14:argumentDescription>
          </x14:argumentDescriptions>
        </x14:definedName>
        <x14:definedName name="DataMatrix">
          <x14:argumentDescriptions count="1">
            <x14:argumentDescription index="0">Text to be encoded.</x14:argumentDescription>
          </x14:argumentDescriptions>
        </x14:definedName>
        <x14:definedName name="DRAWLINEAR">
          <x14:argumentDescriptions count="1">
            <x14:argumentDescription index="0">Barcode string to be drawn.</x14:argumentDescription>
          </x14:argumentDescriptions>
        </x14:definedName>
        <x14:definedName name="EAN_13">
          <x14:argumentDescriptions count="1">
            <x14:argumentDescription index="0">Text to be encoded.</x14:argumentDescription>
          </x14:argumentDescriptions>
        </x14:definedName>
        <x14:definedName name="EAN_2">
          <x14:argumentDescriptions count="1">
            <x14:argumentDescription index="0">Text to be encoded.</x14:argumentDescription>
          </x14:argumentDescriptions>
        </x14:definedName>
        <x14:definedName name="EAN_5">
          <x14:argumentDescriptions count="1">
            <x14:argumentDescription index="0">Text to be encoded.</x14:argumentDescription>
          </x14:argumentDescriptions>
        </x14:definedName>
        <x14:definedName name="PDF_417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PDFIVXVII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QRCode">
          <x14:argumentDescriptions count="3">
            <x14:argumentDescription index="0">Text to be encoded.</x14:argumentDescription>
            <x14:argumentDescription index="1">OPTIONAL Security level "LMQH"_x000D_
low, medium, quartile, high_x000D_
[Default=L]</x14:argumentDescription>
            <x14:argumentDescription index="2">OPTIONAL Minimum version size(-3 to 40) [Default=1]_x000D_
MicroQR M1:-3, M2:-2, M3:-1, M4:0</x14:argumentDescription>
          </x14:argumentDescriptions>
        </x14:definedName>
        <x14:definedName name="UPCA">
          <x14:argumentDescriptions count="1">
            <x14:argumentDescription index="0">Text to be encoded.</x14:argumentDescription>
          </x14:argumentDescriptions>
        </x14:definedName>
        <x14:definedName name="UPCE">
          <x14:argumentDescriptions count="1">
            <x14:argumentDescription index="0">Text to be encoded.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 a="1"/>
  <c r="C2" i="1" a="1"/>
  <c r="D2" i="1" a="1"/>
  <c r="E2" i="1" a="1"/>
  <c r="D1" i="1" a="1"/>
  <c r="C1" i="1" a="1"/>
  <c r="E1" i="1" a="1"/>
  <c r="F1" i="1" a="1"/>
  <c r="B2" i="1" a="1"/>
  <c r="B1" i="1" a="1"/>
  <c r="B11" i="1" a="1"/>
  <c r="B10" i="1" a="1"/>
  <c r="B9" i="1" a="1"/>
  <c r="B8" i="1" a="1"/>
  <c r="B7" i="1" a="1"/>
  <c r="B6" i="1" a="1"/>
  <c r="B5" i="1" a="1"/>
  <c r="B4" i="1" a="1"/>
  <c r="B3" i="1" a="1"/>
  <c r="B9" i="2" a="1"/>
  <c r="B8" i="2" a="1"/>
  <c r="B7" i="2" a="1"/>
  <c r="B6" i="2" a="1"/>
  <c r="B5" i="2" a="1"/>
  <c r="B4" i="2" a="1"/>
  <c r="B3" i="2" a="1"/>
  <c r="B2" i="2" a="1"/>
  <c r="B1" i="2" a="1"/>
  <c r="B11" i="1" l="1"/>
  <c r="B10" i="1"/>
  <c r="B9" i="1"/>
  <c r="B8" i="1"/>
  <c r="B7" i="1"/>
  <c r="B6" i="1"/>
  <c r="B5" i="1"/>
  <c r="B4" i="1"/>
  <c r="B3" i="1"/>
  <c r="B9" i="2"/>
  <c r="B8" i="2"/>
  <c r="B7" i="2"/>
  <c r="B6" i="2"/>
  <c r="B5" i="2"/>
  <c r="B4" i="2"/>
  <c r="B3" i="2"/>
  <c r="B2" i="2"/>
  <c r="B1" i="2"/>
  <c r="B2" i="1"/>
  <c r="B1" i="1"/>
  <c r="D2" i="1"/>
  <c r="C2" i="1"/>
  <c r="D1" i="1"/>
  <c r="E1" i="1"/>
  <c r="F2" i="1"/>
  <c r="F1" i="1"/>
  <c r="E2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<sst xmlns="http://schemas.openxmlformats.org/spreadsheetml/2006/main" count="37" uniqueCount="19">
  <si>
    <t>test</t>
  </si>
  <si>
    <t>614141000036</t>
  </si>
  <si>
    <t>0614193</t>
  </si>
  <si>
    <t>9501101530003</t>
  </si>
  <si>
    <t>95050003</t>
  </si>
  <si>
    <t>54495</t>
  </si>
  <si>
    <t>05</t>
  </si>
  <si>
    <t>ABC</t>
  </si>
  <si>
    <t>0123452</t>
  </si>
  <si>
    <t>barcode</t>
  </si>
  <si>
    <t>UPC-A</t>
  </si>
  <si>
    <t>UPC-E</t>
  </si>
  <si>
    <t>EAN-13</t>
  </si>
  <si>
    <t>EAN-8</t>
  </si>
  <si>
    <t>EAN-5</t>
  </si>
  <si>
    <t>EAN-2</t>
  </si>
  <si>
    <t>Code 39</t>
  </si>
  <si>
    <t>Code 11</t>
  </si>
  <si>
    <t>Code 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</si>
</sst>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</xdr:colOff>
      <xdr:row>1</xdr:row>
      <xdr:rowOff>148590</xdr:rowOff>
    </xdr:from>
    <xdr:to>
      <xdr:col>5</xdr:col>
      <xdr:colOff>1219200</xdr:colOff>
      <xdr:row>1</xdr:row>
      <xdr:rowOff>1291590</xdr:rowOff>
    </xdr:to>
    <xdr:grpSp>
      <xdr:nvGrpSpPr>
        <xdr:cNvPr id="38703" name="$F$2" descr="Aztec compact barcode, security 71%, layers 1, 15x15 cells" title="test">
          <a:extLst>
            <a:ext uri="{FF2B5EF4-FFF2-40B4-BE49-F238E27FC236}">
              <a16:creationId xmlns:a16="http://schemas.microsoft.com/office/drawing/2014/main" id="{E95D784E-8092-463D-B880-C3807C73E5D0}"/>
            </a:ext>
          </a:extLst>
        </xdr:cNvPr>
        <xdr:cNvGrpSpPr>
          <a:grpSpLocks noChangeAspect="1"/>
        </xdr:cNvGrpSpPr>
      </xdr:nvGrpSpPr>
      <xdr:grpSpPr>
        <a:xfrm>
          <a:off x="7734300" y="1573530"/>
          <a:ext cx="1143000" cy="1143000"/>
          <a:chOff x="0" y="0"/>
          <a:chExt cx="190500" cy="190500"/>
        </a:xfrm>
      </xdr:grpSpPr>
      <xdr:sp macro="" textlink="">
        <xdr:nvSpPr>
          <xdr:cNvPr id="38587" name="$F$2">
            <a:extLst>
              <a:ext uri="{FF2B5EF4-FFF2-40B4-BE49-F238E27FC236}">
                <a16:creationId xmlns:a16="http://schemas.microsoft.com/office/drawing/2014/main" id="{BBDA7DDA-FBA3-410B-835F-C258DF02C4E4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8" name="$F$2">
            <a:extLst>
              <a:ext uri="{FF2B5EF4-FFF2-40B4-BE49-F238E27FC236}">
                <a16:creationId xmlns:a16="http://schemas.microsoft.com/office/drawing/2014/main" id="{A202EF25-C912-4FC0-A0A9-C9359EA98C16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9" name="$F$2">
            <a:extLst>
              <a:ext uri="{FF2B5EF4-FFF2-40B4-BE49-F238E27FC236}">
                <a16:creationId xmlns:a16="http://schemas.microsoft.com/office/drawing/2014/main" id="{60B82014-9D94-4A78-839E-D3F88994FE22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0" name="$F$2">
            <a:extLst>
              <a:ext uri="{FF2B5EF4-FFF2-40B4-BE49-F238E27FC236}">
                <a16:creationId xmlns:a16="http://schemas.microsoft.com/office/drawing/2014/main" id="{CDC51DB0-4C14-46B3-A0D9-AB6DC8FF1B73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1" name="$F$2">
            <a:extLst>
              <a:ext uri="{FF2B5EF4-FFF2-40B4-BE49-F238E27FC236}">
                <a16:creationId xmlns:a16="http://schemas.microsoft.com/office/drawing/2014/main" id="{7D9F592A-65E1-451C-9311-FE6123BBF36C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2" name="$F$2">
            <a:extLst>
              <a:ext uri="{FF2B5EF4-FFF2-40B4-BE49-F238E27FC236}">
                <a16:creationId xmlns:a16="http://schemas.microsoft.com/office/drawing/2014/main" id="{C3DBBB0D-276B-4921-9581-4830B26C25DB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3" name="$F$2">
            <a:extLst>
              <a:ext uri="{FF2B5EF4-FFF2-40B4-BE49-F238E27FC236}">
                <a16:creationId xmlns:a16="http://schemas.microsoft.com/office/drawing/2014/main" id="{F8088AEE-3A40-4EA2-82BC-B74C53F294CE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4" name="$F$2">
            <a:extLst>
              <a:ext uri="{FF2B5EF4-FFF2-40B4-BE49-F238E27FC236}">
                <a16:creationId xmlns:a16="http://schemas.microsoft.com/office/drawing/2014/main" id="{C5803B6A-78C8-495A-8C85-87D38B8909A5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5" name="$F$2">
            <a:extLst>
              <a:ext uri="{FF2B5EF4-FFF2-40B4-BE49-F238E27FC236}">
                <a16:creationId xmlns:a16="http://schemas.microsoft.com/office/drawing/2014/main" id="{1AB1F589-9A0F-4ACA-AC94-FEF6735D26DF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6" name="$F$2">
            <a:extLst>
              <a:ext uri="{FF2B5EF4-FFF2-40B4-BE49-F238E27FC236}">
                <a16:creationId xmlns:a16="http://schemas.microsoft.com/office/drawing/2014/main" id="{A7711209-2045-4240-B8C6-D578B074B60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7" name="$F$2">
            <a:extLst>
              <a:ext uri="{FF2B5EF4-FFF2-40B4-BE49-F238E27FC236}">
                <a16:creationId xmlns:a16="http://schemas.microsoft.com/office/drawing/2014/main" id="{67FD1E49-9B05-4F2A-A16E-E53BFB524F15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8" name="$F$2">
            <a:extLst>
              <a:ext uri="{FF2B5EF4-FFF2-40B4-BE49-F238E27FC236}">
                <a16:creationId xmlns:a16="http://schemas.microsoft.com/office/drawing/2014/main" id="{B732E62A-4DAC-452F-B256-A3284AF18C58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9" name="$F$2">
            <a:extLst>
              <a:ext uri="{FF2B5EF4-FFF2-40B4-BE49-F238E27FC236}">
                <a16:creationId xmlns:a16="http://schemas.microsoft.com/office/drawing/2014/main" id="{E83934A8-F008-44DF-8F4D-E515D5794963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0" name="$F$2">
            <a:extLst>
              <a:ext uri="{FF2B5EF4-FFF2-40B4-BE49-F238E27FC236}">
                <a16:creationId xmlns:a16="http://schemas.microsoft.com/office/drawing/2014/main" id="{8234608A-E2BB-4199-A7E0-15853127E8AF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1" name="$F$2">
            <a:extLst>
              <a:ext uri="{FF2B5EF4-FFF2-40B4-BE49-F238E27FC236}">
                <a16:creationId xmlns:a16="http://schemas.microsoft.com/office/drawing/2014/main" id="{A40042A3-E5BE-4509-8298-E454E64A9233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2" name="$F$2">
            <a:extLst>
              <a:ext uri="{FF2B5EF4-FFF2-40B4-BE49-F238E27FC236}">
                <a16:creationId xmlns:a16="http://schemas.microsoft.com/office/drawing/2014/main" id="{79DD6BDA-15C8-425C-92F5-2A6E47CB62F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3" name="$F$2">
            <a:extLst>
              <a:ext uri="{FF2B5EF4-FFF2-40B4-BE49-F238E27FC236}">
                <a16:creationId xmlns:a16="http://schemas.microsoft.com/office/drawing/2014/main" id="{09D87D92-5749-42F7-8558-6BFB084CFE19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4" name="$F$2">
            <a:extLst>
              <a:ext uri="{FF2B5EF4-FFF2-40B4-BE49-F238E27FC236}">
                <a16:creationId xmlns:a16="http://schemas.microsoft.com/office/drawing/2014/main" id="{BA3D17B3-5B7E-4638-BF7F-6A09E99564A9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5" name="$F$2">
            <a:extLst>
              <a:ext uri="{FF2B5EF4-FFF2-40B4-BE49-F238E27FC236}">
                <a16:creationId xmlns:a16="http://schemas.microsoft.com/office/drawing/2014/main" id="{BF6F49FA-AFEB-45C3-95E3-D3D1A141C1AE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6" name="$F$2">
            <a:extLst>
              <a:ext uri="{FF2B5EF4-FFF2-40B4-BE49-F238E27FC236}">
                <a16:creationId xmlns:a16="http://schemas.microsoft.com/office/drawing/2014/main" id="{4B7FB88F-37C1-4020-A99E-4B4693F8131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7" name="$F$2">
            <a:extLst>
              <a:ext uri="{FF2B5EF4-FFF2-40B4-BE49-F238E27FC236}">
                <a16:creationId xmlns:a16="http://schemas.microsoft.com/office/drawing/2014/main" id="{70862B87-8F02-4226-B06F-2D9945F2D6B7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8" name="$F$2">
            <a:extLst>
              <a:ext uri="{FF2B5EF4-FFF2-40B4-BE49-F238E27FC236}">
                <a16:creationId xmlns:a16="http://schemas.microsoft.com/office/drawing/2014/main" id="{43626CBD-BF9B-4EF5-B643-67083198EB9D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9" name="$F$2">
            <a:extLst>
              <a:ext uri="{FF2B5EF4-FFF2-40B4-BE49-F238E27FC236}">
                <a16:creationId xmlns:a16="http://schemas.microsoft.com/office/drawing/2014/main" id="{683B0515-2FC5-4B3C-8316-585311C5F04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0" name="$F$2">
            <a:extLst>
              <a:ext uri="{FF2B5EF4-FFF2-40B4-BE49-F238E27FC236}">
                <a16:creationId xmlns:a16="http://schemas.microsoft.com/office/drawing/2014/main" id="{03600EDD-2100-4642-BA0C-49B376953B20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1" name="$F$2">
            <a:extLst>
              <a:ext uri="{FF2B5EF4-FFF2-40B4-BE49-F238E27FC236}">
                <a16:creationId xmlns:a16="http://schemas.microsoft.com/office/drawing/2014/main" id="{B9067DBA-654E-45A0-AA72-01E7ABC21D3E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2" name="$F$2">
            <a:extLst>
              <a:ext uri="{FF2B5EF4-FFF2-40B4-BE49-F238E27FC236}">
                <a16:creationId xmlns:a16="http://schemas.microsoft.com/office/drawing/2014/main" id="{5F283249-F06B-4419-9CE8-D2C5EDC7326E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3" name="$F$2">
            <a:extLst>
              <a:ext uri="{FF2B5EF4-FFF2-40B4-BE49-F238E27FC236}">
                <a16:creationId xmlns:a16="http://schemas.microsoft.com/office/drawing/2014/main" id="{84AF5842-4EDC-4260-BBD1-7D22832AFC6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4" name="$F$2">
            <a:extLst>
              <a:ext uri="{FF2B5EF4-FFF2-40B4-BE49-F238E27FC236}">
                <a16:creationId xmlns:a16="http://schemas.microsoft.com/office/drawing/2014/main" id="{9C71BC15-90FF-4494-A078-F6397DEA09D1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5" name="$F$2">
            <a:extLst>
              <a:ext uri="{FF2B5EF4-FFF2-40B4-BE49-F238E27FC236}">
                <a16:creationId xmlns:a16="http://schemas.microsoft.com/office/drawing/2014/main" id="{76029377-7367-45D2-859B-F3B2A49E4E2E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6" name="$F$2">
            <a:extLst>
              <a:ext uri="{FF2B5EF4-FFF2-40B4-BE49-F238E27FC236}">
                <a16:creationId xmlns:a16="http://schemas.microsoft.com/office/drawing/2014/main" id="{E4577876-C54F-420F-9B95-EBF20AEE5158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7" name="$F$2">
            <a:extLst>
              <a:ext uri="{FF2B5EF4-FFF2-40B4-BE49-F238E27FC236}">
                <a16:creationId xmlns:a16="http://schemas.microsoft.com/office/drawing/2014/main" id="{164585A2-4A4F-49BB-B158-609F6C5BFFA3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8" name="$F$2">
            <a:extLst>
              <a:ext uri="{FF2B5EF4-FFF2-40B4-BE49-F238E27FC236}">
                <a16:creationId xmlns:a16="http://schemas.microsoft.com/office/drawing/2014/main" id="{652034C9-AB63-477D-8E59-DBA37A15398A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9" name="$F$2">
            <a:extLst>
              <a:ext uri="{FF2B5EF4-FFF2-40B4-BE49-F238E27FC236}">
                <a16:creationId xmlns:a16="http://schemas.microsoft.com/office/drawing/2014/main" id="{8CAD0617-8B7A-4A41-B018-C4529E175EAC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0" name="$F$2">
            <a:extLst>
              <a:ext uri="{FF2B5EF4-FFF2-40B4-BE49-F238E27FC236}">
                <a16:creationId xmlns:a16="http://schemas.microsoft.com/office/drawing/2014/main" id="{856AF575-6B27-4713-8D02-F7A814335581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1" name="$F$2">
            <a:extLst>
              <a:ext uri="{FF2B5EF4-FFF2-40B4-BE49-F238E27FC236}">
                <a16:creationId xmlns:a16="http://schemas.microsoft.com/office/drawing/2014/main" id="{EDC6C2EC-D33C-4CE8-BA86-9755202CDB8F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2" name="$F$2">
            <a:extLst>
              <a:ext uri="{FF2B5EF4-FFF2-40B4-BE49-F238E27FC236}">
                <a16:creationId xmlns:a16="http://schemas.microsoft.com/office/drawing/2014/main" id="{863F46B9-00BF-440F-8A24-E11E8846995E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3" name="$F$2">
            <a:extLst>
              <a:ext uri="{FF2B5EF4-FFF2-40B4-BE49-F238E27FC236}">
                <a16:creationId xmlns:a16="http://schemas.microsoft.com/office/drawing/2014/main" id="{1661BF80-D270-48B7-8C43-0648E2627879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4" name="$F$2">
            <a:extLst>
              <a:ext uri="{FF2B5EF4-FFF2-40B4-BE49-F238E27FC236}">
                <a16:creationId xmlns:a16="http://schemas.microsoft.com/office/drawing/2014/main" id="{FB404572-0F02-4654-B2F3-B9C66C21F5A6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5" name="$F$2">
            <a:extLst>
              <a:ext uri="{FF2B5EF4-FFF2-40B4-BE49-F238E27FC236}">
                <a16:creationId xmlns:a16="http://schemas.microsoft.com/office/drawing/2014/main" id="{26FC2CAF-65DB-473D-A5CB-EECBA1F27DB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6" name="$F$2">
            <a:extLst>
              <a:ext uri="{FF2B5EF4-FFF2-40B4-BE49-F238E27FC236}">
                <a16:creationId xmlns:a16="http://schemas.microsoft.com/office/drawing/2014/main" id="{CAD84A30-E229-46BD-BBC9-2BC0206F4EDF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7" name="$F$2">
            <a:extLst>
              <a:ext uri="{FF2B5EF4-FFF2-40B4-BE49-F238E27FC236}">
                <a16:creationId xmlns:a16="http://schemas.microsoft.com/office/drawing/2014/main" id="{7C6DA6BF-23FB-4C00-8E78-5726538DE179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8" name="$F$2">
            <a:extLst>
              <a:ext uri="{FF2B5EF4-FFF2-40B4-BE49-F238E27FC236}">
                <a16:creationId xmlns:a16="http://schemas.microsoft.com/office/drawing/2014/main" id="{C34D5ED6-9C5C-4AE2-A8A1-2F7FC370171B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9" name="$F$2">
            <a:extLst>
              <a:ext uri="{FF2B5EF4-FFF2-40B4-BE49-F238E27FC236}">
                <a16:creationId xmlns:a16="http://schemas.microsoft.com/office/drawing/2014/main" id="{E0FBB1D3-8202-493E-8DE4-A7CD50903137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0" name="$F$2">
            <a:extLst>
              <a:ext uri="{FF2B5EF4-FFF2-40B4-BE49-F238E27FC236}">
                <a16:creationId xmlns:a16="http://schemas.microsoft.com/office/drawing/2014/main" id="{E9ABF21B-3462-4A21-8C6E-A214CABD62F0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1" name="$F$2">
            <a:extLst>
              <a:ext uri="{FF2B5EF4-FFF2-40B4-BE49-F238E27FC236}">
                <a16:creationId xmlns:a16="http://schemas.microsoft.com/office/drawing/2014/main" id="{707D5DFD-7C60-4530-B402-0F559007692E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2" name="$F$2">
            <a:extLst>
              <a:ext uri="{FF2B5EF4-FFF2-40B4-BE49-F238E27FC236}">
                <a16:creationId xmlns:a16="http://schemas.microsoft.com/office/drawing/2014/main" id="{AAC2BB5E-B315-4C8D-90B0-2FF24D6A4161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3" name="$F$2">
            <a:extLst>
              <a:ext uri="{FF2B5EF4-FFF2-40B4-BE49-F238E27FC236}">
                <a16:creationId xmlns:a16="http://schemas.microsoft.com/office/drawing/2014/main" id="{C4ACC91B-0624-46B8-9E58-ED4A9AFFE2DB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4" name="$F$2">
            <a:extLst>
              <a:ext uri="{FF2B5EF4-FFF2-40B4-BE49-F238E27FC236}">
                <a16:creationId xmlns:a16="http://schemas.microsoft.com/office/drawing/2014/main" id="{75C771CD-C37D-4380-8C47-07314A2DAE3C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5" name="$F$2">
            <a:extLst>
              <a:ext uri="{FF2B5EF4-FFF2-40B4-BE49-F238E27FC236}">
                <a16:creationId xmlns:a16="http://schemas.microsoft.com/office/drawing/2014/main" id="{3E174A7D-1DCE-4B43-8450-B4E44134331C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6" name="$F$2">
            <a:extLst>
              <a:ext uri="{FF2B5EF4-FFF2-40B4-BE49-F238E27FC236}">
                <a16:creationId xmlns:a16="http://schemas.microsoft.com/office/drawing/2014/main" id="{74BCD84F-E35A-49C7-8161-735BB9843253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7" name="$F$2">
            <a:extLst>
              <a:ext uri="{FF2B5EF4-FFF2-40B4-BE49-F238E27FC236}">
                <a16:creationId xmlns:a16="http://schemas.microsoft.com/office/drawing/2014/main" id="{3621CDE8-74D4-4304-A1F4-08274837F13A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8" name="$F$2">
            <a:extLst>
              <a:ext uri="{FF2B5EF4-FFF2-40B4-BE49-F238E27FC236}">
                <a16:creationId xmlns:a16="http://schemas.microsoft.com/office/drawing/2014/main" id="{1FC38C55-9EFE-4B55-8259-BB3AAA8EA177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9" name="$F$2">
            <a:extLst>
              <a:ext uri="{FF2B5EF4-FFF2-40B4-BE49-F238E27FC236}">
                <a16:creationId xmlns:a16="http://schemas.microsoft.com/office/drawing/2014/main" id="{9A23B22E-B5C7-4D10-B956-8A5A3D569C4D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0" name="$F$2">
            <a:extLst>
              <a:ext uri="{FF2B5EF4-FFF2-40B4-BE49-F238E27FC236}">
                <a16:creationId xmlns:a16="http://schemas.microsoft.com/office/drawing/2014/main" id="{177605E6-6496-4B5F-A977-88F4B31CA328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1" name="$F$2">
            <a:extLst>
              <a:ext uri="{FF2B5EF4-FFF2-40B4-BE49-F238E27FC236}">
                <a16:creationId xmlns:a16="http://schemas.microsoft.com/office/drawing/2014/main" id="{D230C3FD-EAEA-4877-BBD2-4A59632F93BA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2" name="$F$2">
            <a:extLst>
              <a:ext uri="{FF2B5EF4-FFF2-40B4-BE49-F238E27FC236}">
                <a16:creationId xmlns:a16="http://schemas.microsoft.com/office/drawing/2014/main" id="{9BDD35DF-0EC7-4269-843C-B23EA2C8730C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3" name="$F$2">
            <a:extLst>
              <a:ext uri="{FF2B5EF4-FFF2-40B4-BE49-F238E27FC236}">
                <a16:creationId xmlns:a16="http://schemas.microsoft.com/office/drawing/2014/main" id="{B74D6357-DBF5-4A37-9457-FA557D6B1A5C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4" name="$F$2">
            <a:extLst>
              <a:ext uri="{FF2B5EF4-FFF2-40B4-BE49-F238E27FC236}">
                <a16:creationId xmlns:a16="http://schemas.microsoft.com/office/drawing/2014/main" id="{3E1CCD82-66A1-4C92-8A9C-349CCDD9996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5" name="$F$2">
            <a:extLst>
              <a:ext uri="{FF2B5EF4-FFF2-40B4-BE49-F238E27FC236}">
                <a16:creationId xmlns:a16="http://schemas.microsoft.com/office/drawing/2014/main" id="{2E6D1B37-49CC-4523-A499-B4B50AD8D695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6" name="$F$2">
            <a:extLst>
              <a:ext uri="{FF2B5EF4-FFF2-40B4-BE49-F238E27FC236}">
                <a16:creationId xmlns:a16="http://schemas.microsoft.com/office/drawing/2014/main" id="{5EB0FC1A-0A03-4B16-8073-1CFDBBCE2F3D}"/>
              </a:ext>
            </a:extLst>
          </xdr:cNvPr>
          <xdr:cNvSpPr/>
        </xdr:nvSpPr>
        <xdr:spPr>
          <a:xfrm>
            <a:off x="63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7" name="$F$2">
            <a:extLst>
              <a:ext uri="{FF2B5EF4-FFF2-40B4-BE49-F238E27FC236}">
                <a16:creationId xmlns:a16="http://schemas.microsoft.com/office/drawing/2014/main" id="{81020E60-4C6D-455D-BD79-7F86835D6CE1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8" name="$F$2">
            <a:extLst>
              <a:ext uri="{FF2B5EF4-FFF2-40B4-BE49-F238E27FC236}">
                <a16:creationId xmlns:a16="http://schemas.microsoft.com/office/drawing/2014/main" id="{06489BD1-EAC4-4F3F-9F7F-CD32DD66E4E7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9" name="$F$2">
            <a:extLst>
              <a:ext uri="{FF2B5EF4-FFF2-40B4-BE49-F238E27FC236}">
                <a16:creationId xmlns:a16="http://schemas.microsoft.com/office/drawing/2014/main" id="{5B7DA875-49DA-42F4-B22E-D846EF128FE1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0" name="$F$2">
            <a:extLst>
              <a:ext uri="{FF2B5EF4-FFF2-40B4-BE49-F238E27FC236}">
                <a16:creationId xmlns:a16="http://schemas.microsoft.com/office/drawing/2014/main" id="{F6361A52-80EA-4E54-9791-FCCAFB40FA38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1" name="$F$2">
            <a:extLst>
              <a:ext uri="{FF2B5EF4-FFF2-40B4-BE49-F238E27FC236}">
                <a16:creationId xmlns:a16="http://schemas.microsoft.com/office/drawing/2014/main" id="{766E1A51-66B1-43D5-95AF-23637FE882C6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2" name="$F$2">
            <a:extLst>
              <a:ext uri="{FF2B5EF4-FFF2-40B4-BE49-F238E27FC236}">
                <a16:creationId xmlns:a16="http://schemas.microsoft.com/office/drawing/2014/main" id="{F2155BBA-84C5-4AAA-A91D-0B331FFBFB4A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3" name="$F$2">
            <a:extLst>
              <a:ext uri="{FF2B5EF4-FFF2-40B4-BE49-F238E27FC236}">
                <a16:creationId xmlns:a16="http://schemas.microsoft.com/office/drawing/2014/main" id="{F036F8D2-824E-4646-A3E0-6F92724B663E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4" name="$F$2">
            <a:extLst>
              <a:ext uri="{FF2B5EF4-FFF2-40B4-BE49-F238E27FC236}">
                <a16:creationId xmlns:a16="http://schemas.microsoft.com/office/drawing/2014/main" id="{F609944F-7B6B-41EC-8596-16FFE5D79AB3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5" name="$F$2">
            <a:extLst>
              <a:ext uri="{FF2B5EF4-FFF2-40B4-BE49-F238E27FC236}">
                <a16:creationId xmlns:a16="http://schemas.microsoft.com/office/drawing/2014/main" id="{5B4647A4-EBF5-4818-913E-A031FAC67806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6" name="$F$2">
            <a:extLst>
              <a:ext uri="{FF2B5EF4-FFF2-40B4-BE49-F238E27FC236}">
                <a16:creationId xmlns:a16="http://schemas.microsoft.com/office/drawing/2014/main" id="{08F58B0E-B00E-463B-8132-9E8EA4828DEA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7" name="$F$2">
            <a:extLst>
              <a:ext uri="{FF2B5EF4-FFF2-40B4-BE49-F238E27FC236}">
                <a16:creationId xmlns:a16="http://schemas.microsoft.com/office/drawing/2014/main" id="{C7AF4060-4C78-431B-9760-D8A489F2949D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8" name="$F$2">
            <a:extLst>
              <a:ext uri="{FF2B5EF4-FFF2-40B4-BE49-F238E27FC236}">
                <a16:creationId xmlns:a16="http://schemas.microsoft.com/office/drawing/2014/main" id="{28090C8E-868D-4908-8499-E1E01485017D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9" name="$F$2">
            <a:extLst>
              <a:ext uri="{FF2B5EF4-FFF2-40B4-BE49-F238E27FC236}">
                <a16:creationId xmlns:a16="http://schemas.microsoft.com/office/drawing/2014/main" id="{26FD0144-F94F-4D7F-8951-BC207BB77371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0" name="$F$2">
            <a:extLst>
              <a:ext uri="{FF2B5EF4-FFF2-40B4-BE49-F238E27FC236}">
                <a16:creationId xmlns:a16="http://schemas.microsoft.com/office/drawing/2014/main" id="{FF230B2E-3037-4B45-8081-5C1C2AFEF9E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1" name="$F$2">
            <a:extLst>
              <a:ext uri="{FF2B5EF4-FFF2-40B4-BE49-F238E27FC236}">
                <a16:creationId xmlns:a16="http://schemas.microsoft.com/office/drawing/2014/main" id="{CD44331B-122A-4931-B1D1-648120A95925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2" name="$F$2">
            <a:extLst>
              <a:ext uri="{FF2B5EF4-FFF2-40B4-BE49-F238E27FC236}">
                <a16:creationId xmlns:a16="http://schemas.microsoft.com/office/drawing/2014/main" id="{16172250-A081-4EE3-8767-FB346D0C42C5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3" name="$F$2">
            <a:extLst>
              <a:ext uri="{FF2B5EF4-FFF2-40B4-BE49-F238E27FC236}">
                <a16:creationId xmlns:a16="http://schemas.microsoft.com/office/drawing/2014/main" id="{F7545E74-A1EA-4D01-B275-4B0BEB0C2B1F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4" name="$F$2">
            <a:extLst>
              <a:ext uri="{FF2B5EF4-FFF2-40B4-BE49-F238E27FC236}">
                <a16:creationId xmlns:a16="http://schemas.microsoft.com/office/drawing/2014/main" id="{01CC07B7-4E40-4054-8F32-B1C823B681AE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5" name="$F$2">
            <a:extLst>
              <a:ext uri="{FF2B5EF4-FFF2-40B4-BE49-F238E27FC236}">
                <a16:creationId xmlns:a16="http://schemas.microsoft.com/office/drawing/2014/main" id="{5E80C4F2-4802-42A6-84B5-CE60E57CD5AC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6" name="$F$2">
            <a:extLst>
              <a:ext uri="{FF2B5EF4-FFF2-40B4-BE49-F238E27FC236}">
                <a16:creationId xmlns:a16="http://schemas.microsoft.com/office/drawing/2014/main" id="{B1FA6022-D8C9-4331-9A3C-30B3B0C3F2EE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7" name="$F$2">
            <a:extLst>
              <a:ext uri="{FF2B5EF4-FFF2-40B4-BE49-F238E27FC236}">
                <a16:creationId xmlns:a16="http://schemas.microsoft.com/office/drawing/2014/main" id="{F5887625-1CE4-4C9E-859B-550B5B26891E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8" name="$F$2">
            <a:extLst>
              <a:ext uri="{FF2B5EF4-FFF2-40B4-BE49-F238E27FC236}">
                <a16:creationId xmlns:a16="http://schemas.microsoft.com/office/drawing/2014/main" id="{770F754E-05F2-4F2E-929B-0766B8C7AD0B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9" name="$F$2">
            <a:extLst>
              <a:ext uri="{FF2B5EF4-FFF2-40B4-BE49-F238E27FC236}">
                <a16:creationId xmlns:a16="http://schemas.microsoft.com/office/drawing/2014/main" id="{EC4B036B-56DC-46AD-8ED1-0F9043C00845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0" name="$F$2">
            <a:extLst>
              <a:ext uri="{FF2B5EF4-FFF2-40B4-BE49-F238E27FC236}">
                <a16:creationId xmlns:a16="http://schemas.microsoft.com/office/drawing/2014/main" id="{58DA0601-2D13-43EC-A172-92A75229516A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1" name="$F$2">
            <a:extLst>
              <a:ext uri="{FF2B5EF4-FFF2-40B4-BE49-F238E27FC236}">
                <a16:creationId xmlns:a16="http://schemas.microsoft.com/office/drawing/2014/main" id="{5D73CABC-EA2A-4727-9A7A-8AADD0AFEC76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2" name="$F$2">
            <a:extLst>
              <a:ext uri="{FF2B5EF4-FFF2-40B4-BE49-F238E27FC236}">
                <a16:creationId xmlns:a16="http://schemas.microsoft.com/office/drawing/2014/main" id="{0DCB4D21-8D84-4948-BAF3-265B342C1F2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3" name="$F$2">
            <a:extLst>
              <a:ext uri="{FF2B5EF4-FFF2-40B4-BE49-F238E27FC236}">
                <a16:creationId xmlns:a16="http://schemas.microsoft.com/office/drawing/2014/main" id="{85FD4BF5-E9DA-4D23-A79D-B63514B6518A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4" name="$F$2">
            <a:extLst>
              <a:ext uri="{FF2B5EF4-FFF2-40B4-BE49-F238E27FC236}">
                <a16:creationId xmlns:a16="http://schemas.microsoft.com/office/drawing/2014/main" id="{B77BDDB3-AC8F-47A1-9C28-1B45A5712CF8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5" name="$F$2">
            <a:extLst>
              <a:ext uri="{FF2B5EF4-FFF2-40B4-BE49-F238E27FC236}">
                <a16:creationId xmlns:a16="http://schemas.microsoft.com/office/drawing/2014/main" id="{DD1EA363-10D8-4C96-B639-845D59FBD61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6" name="$F$2">
            <a:extLst>
              <a:ext uri="{FF2B5EF4-FFF2-40B4-BE49-F238E27FC236}">
                <a16:creationId xmlns:a16="http://schemas.microsoft.com/office/drawing/2014/main" id="{F67841C0-70CA-4D6F-8950-C5293C2425F2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7" name="$F$2">
            <a:extLst>
              <a:ext uri="{FF2B5EF4-FFF2-40B4-BE49-F238E27FC236}">
                <a16:creationId xmlns:a16="http://schemas.microsoft.com/office/drawing/2014/main" id="{869E4E03-03AF-4216-84F8-16A086450D8D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8" name="$F$2">
            <a:extLst>
              <a:ext uri="{FF2B5EF4-FFF2-40B4-BE49-F238E27FC236}">
                <a16:creationId xmlns:a16="http://schemas.microsoft.com/office/drawing/2014/main" id="{DD68C742-579E-422E-AC36-6D3BC8E0755B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9" name="$F$2">
            <a:extLst>
              <a:ext uri="{FF2B5EF4-FFF2-40B4-BE49-F238E27FC236}">
                <a16:creationId xmlns:a16="http://schemas.microsoft.com/office/drawing/2014/main" id="{17392CC5-6222-4C0F-830F-DFE2C735BFD5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0" name="$F$2">
            <a:extLst>
              <a:ext uri="{FF2B5EF4-FFF2-40B4-BE49-F238E27FC236}">
                <a16:creationId xmlns:a16="http://schemas.microsoft.com/office/drawing/2014/main" id="{545D0DC6-ACC0-43B2-A77D-ACE800654AEC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1" name="$F$2">
            <a:extLst>
              <a:ext uri="{FF2B5EF4-FFF2-40B4-BE49-F238E27FC236}">
                <a16:creationId xmlns:a16="http://schemas.microsoft.com/office/drawing/2014/main" id="{67A54105-1DAB-4086-8A33-DBAC2CC6507B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2" name="$F$2">
            <a:extLst>
              <a:ext uri="{FF2B5EF4-FFF2-40B4-BE49-F238E27FC236}">
                <a16:creationId xmlns:a16="http://schemas.microsoft.com/office/drawing/2014/main" id="{830F94B1-A81E-45FE-B010-C25F5B36278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3" name="$F$2">
            <a:extLst>
              <a:ext uri="{FF2B5EF4-FFF2-40B4-BE49-F238E27FC236}">
                <a16:creationId xmlns:a16="http://schemas.microsoft.com/office/drawing/2014/main" id="{FE10C7FD-B6C2-4D95-B587-B68833E4DE47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4" name="$F$2">
            <a:extLst>
              <a:ext uri="{FF2B5EF4-FFF2-40B4-BE49-F238E27FC236}">
                <a16:creationId xmlns:a16="http://schemas.microsoft.com/office/drawing/2014/main" id="{41A785F1-B693-44FA-928B-9E1557F4D7E8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5" name="$F$2">
            <a:extLst>
              <a:ext uri="{FF2B5EF4-FFF2-40B4-BE49-F238E27FC236}">
                <a16:creationId xmlns:a16="http://schemas.microsoft.com/office/drawing/2014/main" id="{CA047C3C-8A04-4743-8CDC-128CB2D08580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6" name="$F$2">
            <a:extLst>
              <a:ext uri="{FF2B5EF4-FFF2-40B4-BE49-F238E27FC236}">
                <a16:creationId xmlns:a16="http://schemas.microsoft.com/office/drawing/2014/main" id="{21F239B0-3981-4125-B03E-AE1C43E438F0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7" name="$F$2">
            <a:extLst>
              <a:ext uri="{FF2B5EF4-FFF2-40B4-BE49-F238E27FC236}">
                <a16:creationId xmlns:a16="http://schemas.microsoft.com/office/drawing/2014/main" id="{852D01C8-411D-4197-9EA3-9F6939926DD6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8" name="$F$2">
            <a:extLst>
              <a:ext uri="{FF2B5EF4-FFF2-40B4-BE49-F238E27FC236}">
                <a16:creationId xmlns:a16="http://schemas.microsoft.com/office/drawing/2014/main" id="{74DDC9EA-22DB-4EC8-91F4-0D5E698CD69E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9" name="$F$2">
            <a:extLst>
              <a:ext uri="{FF2B5EF4-FFF2-40B4-BE49-F238E27FC236}">
                <a16:creationId xmlns:a16="http://schemas.microsoft.com/office/drawing/2014/main" id="{94D6A2A3-9B1C-4F6B-9FE7-02F0F3EAFCEB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0" name="$F$2">
            <a:extLst>
              <a:ext uri="{FF2B5EF4-FFF2-40B4-BE49-F238E27FC236}">
                <a16:creationId xmlns:a16="http://schemas.microsoft.com/office/drawing/2014/main" id="{3DE39AE7-F48D-4EC1-A2D2-02D8E024E287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1" name="$F$2">
            <a:extLst>
              <a:ext uri="{FF2B5EF4-FFF2-40B4-BE49-F238E27FC236}">
                <a16:creationId xmlns:a16="http://schemas.microsoft.com/office/drawing/2014/main" id="{D123CBDE-5817-4137-986B-1951A6A55DCE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2" name="$F$2">
            <a:extLst>
              <a:ext uri="{FF2B5EF4-FFF2-40B4-BE49-F238E27FC236}">
                <a16:creationId xmlns:a16="http://schemas.microsoft.com/office/drawing/2014/main" id="{8CDCA2B6-ECE8-4168-A04C-06F58913796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3" name="$F$2">
            <a:extLst>
              <a:ext uri="{FF2B5EF4-FFF2-40B4-BE49-F238E27FC236}">
                <a16:creationId xmlns:a16="http://schemas.microsoft.com/office/drawing/2014/main" id="{5384F63F-4ACD-407D-BD06-5368F827AB5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4" name="$F$2">
            <a:extLst>
              <a:ext uri="{FF2B5EF4-FFF2-40B4-BE49-F238E27FC236}">
                <a16:creationId xmlns:a16="http://schemas.microsoft.com/office/drawing/2014/main" id="{BE5473EE-09FA-4C97-8FC5-648F570AF7D2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5" name="$F$2">
            <a:extLst>
              <a:ext uri="{FF2B5EF4-FFF2-40B4-BE49-F238E27FC236}">
                <a16:creationId xmlns:a16="http://schemas.microsoft.com/office/drawing/2014/main" id="{BCCABD54-AB95-41C5-9BDE-9243BAE6A72C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6" name="$F$2">
            <a:extLst>
              <a:ext uri="{FF2B5EF4-FFF2-40B4-BE49-F238E27FC236}">
                <a16:creationId xmlns:a16="http://schemas.microsoft.com/office/drawing/2014/main" id="{6D2554B0-877C-42CE-BE59-B6806531C03C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7" name="$F$2">
            <a:extLst>
              <a:ext uri="{FF2B5EF4-FFF2-40B4-BE49-F238E27FC236}">
                <a16:creationId xmlns:a16="http://schemas.microsoft.com/office/drawing/2014/main" id="{ED2E15B5-2CEB-482E-BC96-0B909D09F101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8" name="$F$2">
            <a:extLst>
              <a:ext uri="{FF2B5EF4-FFF2-40B4-BE49-F238E27FC236}">
                <a16:creationId xmlns:a16="http://schemas.microsoft.com/office/drawing/2014/main" id="{A480878D-04B7-4452-9075-0E26F986F667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9" name="$F$2">
            <a:extLst>
              <a:ext uri="{FF2B5EF4-FFF2-40B4-BE49-F238E27FC236}">
                <a16:creationId xmlns:a16="http://schemas.microsoft.com/office/drawing/2014/main" id="{F481D311-AE95-4091-BC64-4ABEEE90438F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0" name="$F$2">
            <a:extLst>
              <a:ext uri="{FF2B5EF4-FFF2-40B4-BE49-F238E27FC236}">
                <a16:creationId xmlns:a16="http://schemas.microsoft.com/office/drawing/2014/main" id="{62316838-C2FC-4759-A8B8-EEEE75296E15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1" name="$F$2">
            <a:extLst>
              <a:ext uri="{FF2B5EF4-FFF2-40B4-BE49-F238E27FC236}">
                <a16:creationId xmlns:a16="http://schemas.microsoft.com/office/drawing/2014/main" id="{992726E3-4EBC-4E32-92E8-34F291A50794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2" name="$F$2">
            <a:extLst>
              <a:ext uri="{FF2B5EF4-FFF2-40B4-BE49-F238E27FC236}">
                <a16:creationId xmlns:a16="http://schemas.microsoft.com/office/drawing/2014/main" id="{A9754574-77FD-452B-B03D-2F1B7AF01E3F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1</xdr:row>
      <xdr:rowOff>227275</xdr:rowOff>
    </xdr:from>
    <xdr:to>
      <xdr:col>2</xdr:col>
      <xdr:colOff>1030025</xdr:colOff>
      <xdr:row>1</xdr:row>
      <xdr:rowOff>1212905</xdr:rowOff>
    </xdr:to>
    <xdr:grpSp>
      <xdr:nvGrpSpPr>
        <xdr:cNvPr id="38930" name="$C$2" descr="QuickResponse barcode, level H, version 1, mode binary, 21x21 cells" title="test">
          <a:extLst>
            <a:ext uri="{FF2B5EF4-FFF2-40B4-BE49-F238E27FC236}">
              <a16:creationId xmlns:a16="http://schemas.microsoft.com/office/drawing/2014/main" id="{C34C3CA6-A75D-4818-B23E-135E1444156C}"/>
            </a:ext>
          </a:extLst>
        </xdr:cNvPr>
        <xdr:cNvGrpSpPr>
          <a:grpSpLocks noChangeAspect="1"/>
        </xdr:cNvGrpSpPr>
      </xdr:nvGrpSpPr>
      <xdr:grpSpPr>
        <a:xfrm>
          <a:off x="3420055" y="1652215"/>
          <a:ext cx="985630" cy="985630"/>
          <a:chOff x="0" y="0"/>
          <a:chExt cx="266700" cy="266700"/>
        </a:xfrm>
      </xdr:grpSpPr>
      <xdr:sp macro="" textlink="">
        <xdr:nvSpPr>
          <xdr:cNvPr id="38704" name="$C$2">
            <a:extLst>
              <a:ext uri="{FF2B5EF4-FFF2-40B4-BE49-F238E27FC236}">
                <a16:creationId xmlns:a16="http://schemas.microsoft.com/office/drawing/2014/main" id="{D7F9BE01-5200-4D0C-B29F-30BD573C270C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5" name="$C$2">
            <a:extLst>
              <a:ext uri="{FF2B5EF4-FFF2-40B4-BE49-F238E27FC236}">
                <a16:creationId xmlns:a16="http://schemas.microsoft.com/office/drawing/2014/main" id="{BD13A4DE-1C1D-46CF-8AE3-416494217CA8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6" name="$C$2">
            <a:extLst>
              <a:ext uri="{FF2B5EF4-FFF2-40B4-BE49-F238E27FC236}">
                <a16:creationId xmlns:a16="http://schemas.microsoft.com/office/drawing/2014/main" id="{6A959866-1BA0-46A5-8CAE-5D52EB1AA00B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7" name="$C$2">
            <a:extLst>
              <a:ext uri="{FF2B5EF4-FFF2-40B4-BE49-F238E27FC236}">
                <a16:creationId xmlns:a16="http://schemas.microsoft.com/office/drawing/2014/main" id="{483AF654-3C66-409B-AA53-F6EDD11D05F4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8" name="$C$2">
            <a:extLst>
              <a:ext uri="{FF2B5EF4-FFF2-40B4-BE49-F238E27FC236}">
                <a16:creationId xmlns:a16="http://schemas.microsoft.com/office/drawing/2014/main" id="{284A08D9-5B29-42A9-9D9B-78E7FC67C3AE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9" name="$C$2">
            <a:extLst>
              <a:ext uri="{FF2B5EF4-FFF2-40B4-BE49-F238E27FC236}">
                <a16:creationId xmlns:a16="http://schemas.microsoft.com/office/drawing/2014/main" id="{204B8FFD-8041-4BF1-B386-8A533559CC4A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0" name="$C$2">
            <a:extLst>
              <a:ext uri="{FF2B5EF4-FFF2-40B4-BE49-F238E27FC236}">
                <a16:creationId xmlns:a16="http://schemas.microsoft.com/office/drawing/2014/main" id="{B656D500-67C5-4CA7-8507-2F19A441A925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1" name="$C$2">
            <a:extLst>
              <a:ext uri="{FF2B5EF4-FFF2-40B4-BE49-F238E27FC236}">
                <a16:creationId xmlns:a16="http://schemas.microsoft.com/office/drawing/2014/main" id="{8E06E00C-245A-46EC-9BFC-776460A07105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2" name="$C$2">
            <a:extLst>
              <a:ext uri="{FF2B5EF4-FFF2-40B4-BE49-F238E27FC236}">
                <a16:creationId xmlns:a16="http://schemas.microsoft.com/office/drawing/2014/main" id="{8EA0704A-0494-439D-9CD9-60535A90758C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3" name="$C$2">
            <a:extLst>
              <a:ext uri="{FF2B5EF4-FFF2-40B4-BE49-F238E27FC236}">
                <a16:creationId xmlns:a16="http://schemas.microsoft.com/office/drawing/2014/main" id="{0A1F9468-6552-403C-9D6B-09EF88BAB908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4" name="$C$2">
            <a:extLst>
              <a:ext uri="{FF2B5EF4-FFF2-40B4-BE49-F238E27FC236}">
                <a16:creationId xmlns:a16="http://schemas.microsoft.com/office/drawing/2014/main" id="{34C3EBC0-432D-4A83-AED4-BDADBF651626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5" name="$C$2">
            <a:extLst>
              <a:ext uri="{FF2B5EF4-FFF2-40B4-BE49-F238E27FC236}">
                <a16:creationId xmlns:a16="http://schemas.microsoft.com/office/drawing/2014/main" id="{B4D8130E-DCB3-4513-A43B-9300816DEC3F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6" name="$C$2">
            <a:extLst>
              <a:ext uri="{FF2B5EF4-FFF2-40B4-BE49-F238E27FC236}">
                <a16:creationId xmlns:a16="http://schemas.microsoft.com/office/drawing/2014/main" id="{9ECA54A9-0A57-4F09-B9A8-03A25D828DD9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7" name="$C$2">
            <a:extLst>
              <a:ext uri="{FF2B5EF4-FFF2-40B4-BE49-F238E27FC236}">
                <a16:creationId xmlns:a16="http://schemas.microsoft.com/office/drawing/2014/main" id="{620C53C8-1B5E-4A4B-92BD-B3D9A3506D57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8" name="$C$2">
            <a:extLst>
              <a:ext uri="{FF2B5EF4-FFF2-40B4-BE49-F238E27FC236}">
                <a16:creationId xmlns:a16="http://schemas.microsoft.com/office/drawing/2014/main" id="{B5AC8313-982A-4BA1-A0CD-A874DB6F02D5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9" name="$C$2">
            <a:extLst>
              <a:ext uri="{FF2B5EF4-FFF2-40B4-BE49-F238E27FC236}">
                <a16:creationId xmlns:a16="http://schemas.microsoft.com/office/drawing/2014/main" id="{3992A355-4EA5-4AFC-8FA7-8803490CE7CC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0" name="$C$2">
            <a:extLst>
              <a:ext uri="{FF2B5EF4-FFF2-40B4-BE49-F238E27FC236}">
                <a16:creationId xmlns:a16="http://schemas.microsoft.com/office/drawing/2014/main" id="{0B91B11F-B3F4-4802-87CE-EF683D0D8F82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1" name="$C$2">
            <a:extLst>
              <a:ext uri="{FF2B5EF4-FFF2-40B4-BE49-F238E27FC236}">
                <a16:creationId xmlns:a16="http://schemas.microsoft.com/office/drawing/2014/main" id="{DBE08CD4-1974-493D-91A0-5F3FF9862D01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2" name="$C$2">
            <a:extLst>
              <a:ext uri="{FF2B5EF4-FFF2-40B4-BE49-F238E27FC236}">
                <a16:creationId xmlns:a16="http://schemas.microsoft.com/office/drawing/2014/main" id="{1EE7FC9C-E32C-4A49-BB50-581C98BF2661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3" name="$C$2">
            <a:extLst>
              <a:ext uri="{FF2B5EF4-FFF2-40B4-BE49-F238E27FC236}">
                <a16:creationId xmlns:a16="http://schemas.microsoft.com/office/drawing/2014/main" id="{73826314-7795-4499-BC76-7FE70CFA5A05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4" name="$C$2">
            <a:extLst>
              <a:ext uri="{FF2B5EF4-FFF2-40B4-BE49-F238E27FC236}">
                <a16:creationId xmlns:a16="http://schemas.microsoft.com/office/drawing/2014/main" id="{CE8B1EE5-2D73-4E5E-B77F-EB147E5C2548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5" name="$C$2">
            <a:extLst>
              <a:ext uri="{FF2B5EF4-FFF2-40B4-BE49-F238E27FC236}">
                <a16:creationId xmlns:a16="http://schemas.microsoft.com/office/drawing/2014/main" id="{4810947A-8160-4177-940E-F681853C5115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6" name="$C$2">
            <a:extLst>
              <a:ext uri="{FF2B5EF4-FFF2-40B4-BE49-F238E27FC236}">
                <a16:creationId xmlns:a16="http://schemas.microsoft.com/office/drawing/2014/main" id="{841EB2D8-A6D6-4E5E-81E8-4DB30B3395A2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7" name="$C$2">
            <a:extLst>
              <a:ext uri="{FF2B5EF4-FFF2-40B4-BE49-F238E27FC236}">
                <a16:creationId xmlns:a16="http://schemas.microsoft.com/office/drawing/2014/main" id="{EC63E4D0-37F0-4BC2-92D3-AC8A449C8B13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8" name="$C$2">
            <a:extLst>
              <a:ext uri="{FF2B5EF4-FFF2-40B4-BE49-F238E27FC236}">
                <a16:creationId xmlns:a16="http://schemas.microsoft.com/office/drawing/2014/main" id="{A3938B52-53CD-4B37-A6BD-7EC185588034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9" name="$C$2">
            <a:extLst>
              <a:ext uri="{FF2B5EF4-FFF2-40B4-BE49-F238E27FC236}">
                <a16:creationId xmlns:a16="http://schemas.microsoft.com/office/drawing/2014/main" id="{07E7CF4B-5543-4B19-B594-7C8ACECA5E33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0" name="$C$2">
            <a:extLst>
              <a:ext uri="{FF2B5EF4-FFF2-40B4-BE49-F238E27FC236}">
                <a16:creationId xmlns:a16="http://schemas.microsoft.com/office/drawing/2014/main" id="{78EFA051-B2F3-490A-BC5A-ACD0F3C96733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1" name="$C$2">
            <a:extLst>
              <a:ext uri="{FF2B5EF4-FFF2-40B4-BE49-F238E27FC236}">
                <a16:creationId xmlns:a16="http://schemas.microsoft.com/office/drawing/2014/main" id="{11B402D9-217C-4750-80C6-6ED6B45C64ED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2" name="$C$2">
            <a:extLst>
              <a:ext uri="{FF2B5EF4-FFF2-40B4-BE49-F238E27FC236}">
                <a16:creationId xmlns:a16="http://schemas.microsoft.com/office/drawing/2014/main" id="{CA0C5E81-6712-4E29-B021-CB7ED3A36976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3" name="$C$2">
            <a:extLst>
              <a:ext uri="{FF2B5EF4-FFF2-40B4-BE49-F238E27FC236}">
                <a16:creationId xmlns:a16="http://schemas.microsoft.com/office/drawing/2014/main" id="{FC8F597F-DEA9-4EC8-B369-5FC88570614E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4" name="$C$2">
            <a:extLst>
              <a:ext uri="{FF2B5EF4-FFF2-40B4-BE49-F238E27FC236}">
                <a16:creationId xmlns:a16="http://schemas.microsoft.com/office/drawing/2014/main" id="{49320BD7-E003-462E-B8A6-41420F0EB67B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5" name="$C$2">
            <a:extLst>
              <a:ext uri="{FF2B5EF4-FFF2-40B4-BE49-F238E27FC236}">
                <a16:creationId xmlns:a16="http://schemas.microsoft.com/office/drawing/2014/main" id="{0D40C287-B075-46DE-B9AA-F3D5D71286F9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6" name="$C$2">
            <a:extLst>
              <a:ext uri="{FF2B5EF4-FFF2-40B4-BE49-F238E27FC236}">
                <a16:creationId xmlns:a16="http://schemas.microsoft.com/office/drawing/2014/main" id="{06AF5B8A-8EC4-4A8A-8443-4670A191C253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7" name="$C$2">
            <a:extLst>
              <a:ext uri="{FF2B5EF4-FFF2-40B4-BE49-F238E27FC236}">
                <a16:creationId xmlns:a16="http://schemas.microsoft.com/office/drawing/2014/main" id="{1B9C60F8-381D-4115-BD1B-BAF7B4688997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8" name="$C$2">
            <a:extLst>
              <a:ext uri="{FF2B5EF4-FFF2-40B4-BE49-F238E27FC236}">
                <a16:creationId xmlns:a16="http://schemas.microsoft.com/office/drawing/2014/main" id="{19FD38C2-8C23-48F1-82BE-E9B85DD65F63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9" name="$C$2">
            <a:extLst>
              <a:ext uri="{FF2B5EF4-FFF2-40B4-BE49-F238E27FC236}">
                <a16:creationId xmlns:a16="http://schemas.microsoft.com/office/drawing/2014/main" id="{D895FBF9-4D5A-4C07-A793-74BB8F19C31A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0" name="$C$2">
            <a:extLst>
              <a:ext uri="{FF2B5EF4-FFF2-40B4-BE49-F238E27FC236}">
                <a16:creationId xmlns:a16="http://schemas.microsoft.com/office/drawing/2014/main" id="{4764C7C3-5A1F-4F49-AB01-5A66FF019DBB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1" name="$C$2">
            <a:extLst>
              <a:ext uri="{FF2B5EF4-FFF2-40B4-BE49-F238E27FC236}">
                <a16:creationId xmlns:a16="http://schemas.microsoft.com/office/drawing/2014/main" id="{AF4DD095-67EE-4D78-8EE4-AED0305A672D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2" name="$C$2">
            <a:extLst>
              <a:ext uri="{FF2B5EF4-FFF2-40B4-BE49-F238E27FC236}">
                <a16:creationId xmlns:a16="http://schemas.microsoft.com/office/drawing/2014/main" id="{2C9B4F69-A628-42E0-AFDD-BCAF7847E2B3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3" name="$C$2">
            <a:extLst>
              <a:ext uri="{FF2B5EF4-FFF2-40B4-BE49-F238E27FC236}">
                <a16:creationId xmlns:a16="http://schemas.microsoft.com/office/drawing/2014/main" id="{8E658F60-9568-41A3-A18E-7CBD77D1FA7C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4" name="$C$2">
            <a:extLst>
              <a:ext uri="{FF2B5EF4-FFF2-40B4-BE49-F238E27FC236}">
                <a16:creationId xmlns:a16="http://schemas.microsoft.com/office/drawing/2014/main" id="{8F0ABD59-CE29-4AD1-82D0-3FD1FD7B21EF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5" name="$C$2">
            <a:extLst>
              <a:ext uri="{FF2B5EF4-FFF2-40B4-BE49-F238E27FC236}">
                <a16:creationId xmlns:a16="http://schemas.microsoft.com/office/drawing/2014/main" id="{279EFAE2-41BE-4BAD-BB3A-B1637AD07CD2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6" name="$C$2">
            <a:extLst>
              <a:ext uri="{FF2B5EF4-FFF2-40B4-BE49-F238E27FC236}">
                <a16:creationId xmlns:a16="http://schemas.microsoft.com/office/drawing/2014/main" id="{4836B8DD-2287-4741-8799-A7272EE24111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7" name="$C$2">
            <a:extLst>
              <a:ext uri="{FF2B5EF4-FFF2-40B4-BE49-F238E27FC236}">
                <a16:creationId xmlns:a16="http://schemas.microsoft.com/office/drawing/2014/main" id="{775C5DBB-0D83-4235-BD50-CFF339D7C656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8" name="$C$2">
            <a:extLst>
              <a:ext uri="{FF2B5EF4-FFF2-40B4-BE49-F238E27FC236}">
                <a16:creationId xmlns:a16="http://schemas.microsoft.com/office/drawing/2014/main" id="{ECF8F50E-97C2-4923-A6F0-BFDE0F38305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9" name="$C$2">
            <a:extLst>
              <a:ext uri="{FF2B5EF4-FFF2-40B4-BE49-F238E27FC236}">
                <a16:creationId xmlns:a16="http://schemas.microsoft.com/office/drawing/2014/main" id="{143F77B4-3A70-43F5-89DF-BD5FF6949183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0" name="$C$2">
            <a:extLst>
              <a:ext uri="{FF2B5EF4-FFF2-40B4-BE49-F238E27FC236}">
                <a16:creationId xmlns:a16="http://schemas.microsoft.com/office/drawing/2014/main" id="{C2736011-DD0D-4348-9909-14416FA29916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1" name="$C$2">
            <a:extLst>
              <a:ext uri="{FF2B5EF4-FFF2-40B4-BE49-F238E27FC236}">
                <a16:creationId xmlns:a16="http://schemas.microsoft.com/office/drawing/2014/main" id="{E0DEEC0F-1D2D-46D8-B17F-DAAE18D29DCF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2" name="$C$2">
            <a:extLst>
              <a:ext uri="{FF2B5EF4-FFF2-40B4-BE49-F238E27FC236}">
                <a16:creationId xmlns:a16="http://schemas.microsoft.com/office/drawing/2014/main" id="{11C526CA-5D5D-45AB-BC9E-434210722185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3" name="$C$2">
            <a:extLst>
              <a:ext uri="{FF2B5EF4-FFF2-40B4-BE49-F238E27FC236}">
                <a16:creationId xmlns:a16="http://schemas.microsoft.com/office/drawing/2014/main" id="{AA6478F3-5DE0-4485-94FA-0381EAE4A8A2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4" name="$C$2">
            <a:extLst>
              <a:ext uri="{FF2B5EF4-FFF2-40B4-BE49-F238E27FC236}">
                <a16:creationId xmlns:a16="http://schemas.microsoft.com/office/drawing/2014/main" id="{BBED6E37-00C7-4800-A24B-88DD7A88B63B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5" name="$C$2">
            <a:extLst>
              <a:ext uri="{FF2B5EF4-FFF2-40B4-BE49-F238E27FC236}">
                <a16:creationId xmlns:a16="http://schemas.microsoft.com/office/drawing/2014/main" id="{3AFB3A4F-4BBE-4123-B3EF-1BB9923A6278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6" name="$C$2">
            <a:extLst>
              <a:ext uri="{FF2B5EF4-FFF2-40B4-BE49-F238E27FC236}">
                <a16:creationId xmlns:a16="http://schemas.microsoft.com/office/drawing/2014/main" id="{098F5208-A7CF-4782-B64B-48C0E22E45C5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7" name="$C$2">
            <a:extLst>
              <a:ext uri="{FF2B5EF4-FFF2-40B4-BE49-F238E27FC236}">
                <a16:creationId xmlns:a16="http://schemas.microsoft.com/office/drawing/2014/main" id="{ED052C40-1440-4779-83A8-983567551F3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8" name="$C$2">
            <a:extLst>
              <a:ext uri="{FF2B5EF4-FFF2-40B4-BE49-F238E27FC236}">
                <a16:creationId xmlns:a16="http://schemas.microsoft.com/office/drawing/2014/main" id="{6AFB2629-6633-4182-9536-D7F2AFE73EED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9" name="$C$2">
            <a:extLst>
              <a:ext uri="{FF2B5EF4-FFF2-40B4-BE49-F238E27FC236}">
                <a16:creationId xmlns:a16="http://schemas.microsoft.com/office/drawing/2014/main" id="{E3EB31A4-1764-46FB-895C-43961C64AA8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0" name="$C$2">
            <a:extLst>
              <a:ext uri="{FF2B5EF4-FFF2-40B4-BE49-F238E27FC236}">
                <a16:creationId xmlns:a16="http://schemas.microsoft.com/office/drawing/2014/main" id="{F124C030-8FB4-4BA7-AAA9-374DB886A2EA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1" name="$C$2">
            <a:extLst>
              <a:ext uri="{FF2B5EF4-FFF2-40B4-BE49-F238E27FC236}">
                <a16:creationId xmlns:a16="http://schemas.microsoft.com/office/drawing/2014/main" id="{A6F224A5-9913-494D-83E2-46E6B115A818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2" name="$C$2">
            <a:extLst>
              <a:ext uri="{FF2B5EF4-FFF2-40B4-BE49-F238E27FC236}">
                <a16:creationId xmlns:a16="http://schemas.microsoft.com/office/drawing/2014/main" id="{A27FF668-52C1-4BB9-9DD6-937BB2B23A5E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3" name="$C$2">
            <a:extLst>
              <a:ext uri="{FF2B5EF4-FFF2-40B4-BE49-F238E27FC236}">
                <a16:creationId xmlns:a16="http://schemas.microsoft.com/office/drawing/2014/main" id="{EB626BD3-64FC-454B-840A-1F5E233D7A74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4" name="$C$2">
            <a:extLst>
              <a:ext uri="{FF2B5EF4-FFF2-40B4-BE49-F238E27FC236}">
                <a16:creationId xmlns:a16="http://schemas.microsoft.com/office/drawing/2014/main" id="{110191B7-134D-4B47-A00B-FAF497376B89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5" name="$C$2">
            <a:extLst>
              <a:ext uri="{FF2B5EF4-FFF2-40B4-BE49-F238E27FC236}">
                <a16:creationId xmlns:a16="http://schemas.microsoft.com/office/drawing/2014/main" id="{A51560DB-DBD1-4BF7-9150-6FF167DF6AE9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6" name="$C$2">
            <a:extLst>
              <a:ext uri="{FF2B5EF4-FFF2-40B4-BE49-F238E27FC236}">
                <a16:creationId xmlns:a16="http://schemas.microsoft.com/office/drawing/2014/main" id="{F991BA45-7C6B-452F-9531-D420783A5ED1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7" name="$C$2">
            <a:extLst>
              <a:ext uri="{FF2B5EF4-FFF2-40B4-BE49-F238E27FC236}">
                <a16:creationId xmlns:a16="http://schemas.microsoft.com/office/drawing/2014/main" id="{9D490D01-6B1F-46FD-8F64-03A6B6769748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8" name="$C$2">
            <a:extLst>
              <a:ext uri="{FF2B5EF4-FFF2-40B4-BE49-F238E27FC236}">
                <a16:creationId xmlns:a16="http://schemas.microsoft.com/office/drawing/2014/main" id="{A2018612-30EF-48C2-9AB6-1FC7E18DFDD6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9" name="$C$2">
            <a:extLst>
              <a:ext uri="{FF2B5EF4-FFF2-40B4-BE49-F238E27FC236}">
                <a16:creationId xmlns:a16="http://schemas.microsoft.com/office/drawing/2014/main" id="{8DB69093-DEDB-44A7-A051-A2303119BE8F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0" name="$C$2">
            <a:extLst>
              <a:ext uri="{FF2B5EF4-FFF2-40B4-BE49-F238E27FC236}">
                <a16:creationId xmlns:a16="http://schemas.microsoft.com/office/drawing/2014/main" id="{838FC88C-C256-4A2E-9464-C0504A5C1497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1" name="$C$2">
            <a:extLst>
              <a:ext uri="{FF2B5EF4-FFF2-40B4-BE49-F238E27FC236}">
                <a16:creationId xmlns:a16="http://schemas.microsoft.com/office/drawing/2014/main" id="{2E060AE0-4086-46B9-B985-CC339E70CADF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2" name="$C$2">
            <a:extLst>
              <a:ext uri="{FF2B5EF4-FFF2-40B4-BE49-F238E27FC236}">
                <a16:creationId xmlns:a16="http://schemas.microsoft.com/office/drawing/2014/main" id="{CB370661-4E1D-44A7-A9EE-682F4A9A649F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3" name="$C$2">
            <a:extLst>
              <a:ext uri="{FF2B5EF4-FFF2-40B4-BE49-F238E27FC236}">
                <a16:creationId xmlns:a16="http://schemas.microsoft.com/office/drawing/2014/main" id="{57D4B8DE-62AC-4E69-B440-F0D27254680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4" name="$C$2">
            <a:extLst>
              <a:ext uri="{FF2B5EF4-FFF2-40B4-BE49-F238E27FC236}">
                <a16:creationId xmlns:a16="http://schemas.microsoft.com/office/drawing/2014/main" id="{2A0AD8A5-09E4-4980-B30D-B972220B87C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5" name="$C$2">
            <a:extLst>
              <a:ext uri="{FF2B5EF4-FFF2-40B4-BE49-F238E27FC236}">
                <a16:creationId xmlns:a16="http://schemas.microsoft.com/office/drawing/2014/main" id="{2E9C2A02-0281-4B75-B401-57F67BAC6217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6" name="$C$2">
            <a:extLst>
              <a:ext uri="{FF2B5EF4-FFF2-40B4-BE49-F238E27FC236}">
                <a16:creationId xmlns:a16="http://schemas.microsoft.com/office/drawing/2014/main" id="{C4CFA28F-5A7A-4E72-8056-2A9C68206E99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7" name="$C$2">
            <a:extLst>
              <a:ext uri="{FF2B5EF4-FFF2-40B4-BE49-F238E27FC236}">
                <a16:creationId xmlns:a16="http://schemas.microsoft.com/office/drawing/2014/main" id="{E1F25883-E00A-49A5-9F19-058870A8FA0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8" name="$C$2">
            <a:extLst>
              <a:ext uri="{FF2B5EF4-FFF2-40B4-BE49-F238E27FC236}">
                <a16:creationId xmlns:a16="http://schemas.microsoft.com/office/drawing/2014/main" id="{4C629535-F4DA-4CD5-A3D8-BCAC649C8E2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9" name="$C$2">
            <a:extLst>
              <a:ext uri="{FF2B5EF4-FFF2-40B4-BE49-F238E27FC236}">
                <a16:creationId xmlns:a16="http://schemas.microsoft.com/office/drawing/2014/main" id="{3676AB4B-2C39-4B80-9248-A55D81A03DD4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0" name="$C$2">
            <a:extLst>
              <a:ext uri="{FF2B5EF4-FFF2-40B4-BE49-F238E27FC236}">
                <a16:creationId xmlns:a16="http://schemas.microsoft.com/office/drawing/2014/main" id="{F08701B6-4C81-486A-BBE1-4BE48FE44EF7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1" name="$C$2">
            <a:extLst>
              <a:ext uri="{FF2B5EF4-FFF2-40B4-BE49-F238E27FC236}">
                <a16:creationId xmlns:a16="http://schemas.microsoft.com/office/drawing/2014/main" id="{87BBFE90-F11B-4812-8262-503499FED4D1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2" name="$C$2">
            <a:extLst>
              <a:ext uri="{FF2B5EF4-FFF2-40B4-BE49-F238E27FC236}">
                <a16:creationId xmlns:a16="http://schemas.microsoft.com/office/drawing/2014/main" id="{95C8BD59-7FF2-415C-B070-9CA52E865A8B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3" name="$C$2">
            <a:extLst>
              <a:ext uri="{FF2B5EF4-FFF2-40B4-BE49-F238E27FC236}">
                <a16:creationId xmlns:a16="http://schemas.microsoft.com/office/drawing/2014/main" id="{C9A577D8-4F88-482F-9C19-328175E563A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4" name="$C$2">
            <a:extLst>
              <a:ext uri="{FF2B5EF4-FFF2-40B4-BE49-F238E27FC236}">
                <a16:creationId xmlns:a16="http://schemas.microsoft.com/office/drawing/2014/main" id="{9AF20172-47D0-4A42-9120-A82E2B450837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5" name="$C$2">
            <a:extLst>
              <a:ext uri="{FF2B5EF4-FFF2-40B4-BE49-F238E27FC236}">
                <a16:creationId xmlns:a16="http://schemas.microsoft.com/office/drawing/2014/main" id="{14941295-15EE-4522-B30D-718DA79DD7CC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6" name="$C$2">
            <a:extLst>
              <a:ext uri="{FF2B5EF4-FFF2-40B4-BE49-F238E27FC236}">
                <a16:creationId xmlns:a16="http://schemas.microsoft.com/office/drawing/2014/main" id="{E33E6509-75F1-4835-94AF-6017F1E6287C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7" name="$C$2">
            <a:extLst>
              <a:ext uri="{FF2B5EF4-FFF2-40B4-BE49-F238E27FC236}">
                <a16:creationId xmlns:a16="http://schemas.microsoft.com/office/drawing/2014/main" id="{54C6B88A-08FF-4BC7-AA89-EA4A975661FB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8" name="$C$2">
            <a:extLst>
              <a:ext uri="{FF2B5EF4-FFF2-40B4-BE49-F238E27FC236}">
                <a16:creationId xmlns:a16="http://schemas.microsoft.com/office/drawing/2014/main" id="{7FD47525-4778-42C4-8E10-A3D1D9F9802A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9" name="$C$2">
            <a:extLst>
              <a:ext uri="{FF2B5EF4-FFF2-40B4-BE49-F238E27FC236}">
                <a16:creationId xmlns:a16="http://schemas.microsoft.com/office/drawing/2014/main" id="{F519781B-A6B9-417F-8495-AB1FA7B0D3F2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0" name="$C$2">
            <a:extLst>
              <a:ext uri="{FF2B5EF4-FFF2-40B4-BE49-F238E27FC236}">
                <a16:creationId xmlns:a16="http://schemas.microsoft.com/office/drawing/2014/main" id="{EE0A5F2A-0F33-4757-A698-ECBDDCD9DCD8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1" name="$C$2">
            <a:extLst>
              <a:ext uri="{FF2B5EF4-FFF2-40B4-BE49-F238E27FC236}">
                <a16:creationId xmlns:a16="http://schemas.microsoft.com/office/drawing/2014/main" id="{35A0563D-BBFD-4CF6-A619-6A8994689266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2" name="$C$2">
            <a:extLst>
              <a:ext uri="{FF2B5EF4-FFF2-40B4-BE49-F238E27FC236}">
                <a16:creationId xmlns:a16="http://schemas.microsoft.com/office/drawing/2014/main" id="{3FE37696-FA9A-4A47-8455-8CCDB6C4A372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3" name="$C$2">
            <a:extLst>
              <a:ext uri="{FF2B5EF4-FFF2-40B4-BE49-F238E27FC236}">
                <a16:creationId xmlns:a16="http://schemas.microsoft.com/office/drawing/2014/main" id="{778DCE69-0248-4E26-9EA1-DF3B68CCD0AC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4" name="$C$2">
            <a:extLst>
              <a:ext uri="{FF2B5EF4-FFF2-40B4-BE49-F238E27FC236}">
                <a16:creationId xmlns:a16="http://schemas.microsoft.com/office/drawing/2014/main" id="{ED6CA7EC-C4AE-4400-8A24-B4FD366853DE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5" name="$C$2">
            <a:extLst>
              <a:ext uri="{FF2B5EF4-FFF2-40B4-BE49-F238E27FC236}">
                <a16:creationId xmlns:a16="http://schemas.microsoft.com/office/drawing/2014/main" id="{675065AB-A09D-41D6-B8C5-635580352BFB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6" name="$C$2">
            <a:extLst>
              <a:ext uri="{FF2B5EF4-FFF2-40B4-BE49-F238E27FC236}">
                <a16:creationId xmlns:a16="http://schemas.microsoft.com/office/drawing/2014/main" id="{4DD87A13-3F2C-428F-99A1-4754CC364C3C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7" name="$C$2">
            <a:extLst>
              <a:ext uri="{FF2B5EF4-FFF2-40B4-BE49-F238E27FC236}">
                <a16:creationId xmlns:a16="http://schemas.microsoft.com/office/drawing/2014/main" id="{95C37D19-5007-4902-976A-94876335C286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8" name="$C$2">
            <a:extLst>
              <a:ext uri="{FF2B5EF4-FFF2-40B4-BE49-F238E27FC236}">
                <a16:creationId xmlns:a16="http://schemas.microsoft.com/office/drawing/2014/main" id="{70513AAA-F718-4672-AA30-5685E77480D2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9" name="$C$2">
            <a:extLst>
              <a:ext uri="{FF2B5EF4-FFF2-40B4-BE49-F238E27FC236}">
                <a16:creationId xmlns:a16="http://schemas.microsoft.com/office/drawing/2014/main" id="{C9BF3C92-A46A-49B0-A6AB-0B6E20CF5DD7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0" name="$C$2">
            <a:extLst>
              <a:ext uri="{FF2B5EF4-FFF2-40B4-BE49-F238E27FC236}">
                <a16:creationId xmlns:a16="http://schemas.microsoft.com/office/drawing/2014/main" id="{853C263F-F85E-482B-9602-4E1FB166ABA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1" name="$C$2">
            <a:extLst>
              <a:ext uri="{FF2B5EF4-FFF2-40B4-BE49-F238E27FC236}">
                <a16:creationId xmlns:a16="http://schemas.microsoft.com/office/drawing/2014/main" id="{2C2743C1-0CA4-431D-9118-9DEAE63FACC3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2" name="$C$2">
            <a:extLst>
              <a:ext uri="{FF2B5EF4-FFF2-40B4-BE49-F238E27FC236}">
                <a16:creationId xmlns:a16="http://schemas.microsoft.com/office/drawing/2014/main" id="{628F12B5-EB82-4DB2-A6CF-45CDCD302667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3" name="$C$2">
            <a:extLst>
              <a:ext uri="{FF2B5EF4-FFF2-40B4-BE49-F238E27FC236}">
                <a16:creationId xmlns:a16="http://schemas.microsoft.com/office/drawing/2014/main" id="{BC4FF14E-E304-40A7-BA40-4844082A5D0F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4" name="$C$2">
            <a:extLst>
              <a:ext uri="{FF2B5EF4-FFF2-40B4-BE49-F238E27FC236}">
                <a16:creationId xmlns:a16="http://schemas.microsoft.com/office/drawing/2014/main" id="{E416BB91-A9DB-41D5-8247-8246F3AE85A4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5" name="$C$2">
            <a:extLst>
              <a:ext uri="{FF2B5EF4-FFF2-40B4-BE49-F238E27FC236}">
                <a16:creationId xmlns:a16="http://schemas.microsoft.com/office/drawing/2014/main" id="{DF0CED14-2651-48B7-AF14-ABB29AD03D5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6" name="$C$2">
            <a:extLst>
              <a:ext uri="{FF2B5EF4-FFF2-40B4-BE49-F238E27FC236}">
                <a16:creationId xmlns:a16="http://schemas.microsoft.com/office/drawing/2014/main" id="{A1F8AAC4-66D9-4D12-B9FD-5AF31E5A6A7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7" name="$C$2">
            <a:extLst>
              <a:ext uri="{FF2B5EF4-FFF2-40B4-BE49-F238E27FC236}">
                <a16:creationId xmlns:a16="http://schemas.microsoft.com/office/drawing/2014/main" id="{2323D5AB-8735-490B-B6E0-1523EAED37CB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8" name="$C$2">
            <a:extLst>
              <a:ext uri="{FF2B5EF4-FFF2-40B4-BE49-F238E27FC236}">
                <a16:creationId xmlns:a16="http://schemas.microsoft.com/office/drawing/2014/main" id="{056073DD-7B3D-4C76-8027-F65D1193195C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9" name="$C$2">
            <a:extLst>
              <a:ext uri="{FF2B5EF4-FFF2-40B4-BE49-F238E27FC236}">
                <a16:creationId xmlns:a16="http://schemas.microsoft.com/office/drawing/2014/main" id="{057EF34C-553F-4BF6-9E00-7C5F376829D4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0" name="$C$2">
            <a:extLst>
              <a:ext uri="{FF2B5EF4-FFF2-40B4-BE49-F238E27FC236}">
                <a16:creationId xmlns:a16="http://schemas.microsoft.com/office/drawing/2014/main" id="{DD543533-BB19-45B6-A1B9-B3BF0D2093F1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1" name="$C$2">
            <a:extLst>
              <a:ext uri="{FF2B5EF4-FFF2-40B4-BE49-F238E27FC236}">
                <a16:creationId xmlns:a16="http://schemas.microsoft.com/office/drawing/2014/main" id="{DF21C74F-CC79-407F-A2B6-4ADDF0265398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2" name="$C$2">
            <a:extLst>
              <a:ext uri="{FF2B5EF4-FFF2-40B4-BE49-F238E27FC236}">
                <a16:creationId xmlns:a16="http://schemas.microsoft.com/office/drawing/2014/main" id="{DBFFCE28-5522-4B8E-89B8-6717B9B99E3C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3" name="$C$2">
            <a:extLst>
              <a:ext uri="{FF2B5EF4-FFF2-40B4-BE49-F238E27FC236}">
                <a16:creationId xmlns:a16="http://schemas.microsoft.com/office/drawing/2014/main" id="{476D5C35-9B9E-4875-B277-D6BD544EA304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4" name="$C$2">
            <a:extLst>
              <a:ext uri="{FF2B5EF4-FFF2-40B4-BE49-F238E27FC236}">
                <a16:creationId xmlns:a16="http://schemas.microsoft.com/office/drawing/2014/main" id="{2E2BDC71-F2B9-4AB2-9A0E-5F50C5440769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5" name="$C$2">
            <a:extLst>
              <a:ext uri="{FF2B5EF4-FFF2-40B4-BE49-F238E27FC236}">
                <a16:creationId xmlns:a16="http://schemas.microsoft.com/office/drawing/2014/main" id="{32067351-1E59-4CD0-88EC-6CE316BD6117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6" name="$C$2">
            <a:extLst>
              <a:ext uri="{FF2B5EF4-FFF2-40B4-BE49-F238E27FC236}">
                <a16:creationId xmlns:a16="http://schemas.microsoft.com/office/drawing/2014/main" id="{034D5E24-355E-4265-AE50-FA43432F3EA5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7" name="$C$2">
            <a:extLst>
              <a:ext uri="{FF2B5EF4-FFF2-40B4-BE49-F238E27FC236}">
                <a16:creationId xmlns:a16="http://schemas.microsoft.com/office/drawing/2014/main" id="{6D399A57-562A-4DF4-A25B-6F84EF7119BA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8" name="$C$2">
            <a:extLst>
              <a:ext uri="{FF2B5EF4-FFF2-40B4-BE49-F238E27FC236}">
                <a16:creationId xmlns:a16="http://schemas.microsoft.com/office/drawing/2014/main" id="{13A80208-0F05-44FD-913A-F8B4BB05048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9" name="$C$2">
            <a:extLst>
              <a:ext uri="{FF2B5EF4-FFF2-40B4-BE49-F238E27FC236}">
                <a16:creationId xmlns:a16="http://schemas.microsoft.com/office/drawing/2014/main" id="{9B928445-A363-43F9-883F-4C3796B91529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0" name="$C$2">
            <a:extLst>
              <a:ext uri="{FF2B5EF4-FFF2-40B4-BE49-F238E27FC236}">
                <a16:creationId xmlns:a16="http://schemas.microsoft.com/office/drawing/2014/main" id="{8CE52B8E-23DF-4D1E-A85B-967601D04C7C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1" name="$C$2">
            <a:extLst>
              <a:ext uri="{FF2B5EF4-FFF2-40B4-BE49-F238E27FC236}">
                <a16:creationId xmlns:a16="http://schemas.microsoft.com/office/drawing/2014/main" id="{DE8FCBA9-9F90-44AB-BB22-BB80BA0E26E6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2" name="$C$2">
            <a:extLst>
              <a:ext uri="{FF2B5EF4-FFF2-40B4-BE49-F238E27FC236}">
                <a16:creationId xmlns:a16="http://schemas.microsoft.com/office/drawing/2014/main" id="{7EB88780-AD2D-42AC-97B3-4BFAB735065F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3" name="$C$2">
            <a:extLst>
              <a:ext uri="{FF2B5EF4-FFF2-40B4-BE49-F238E27FC236}">
                <a16:creationId xmlns:a16="http://schemas.microsoft.com/office/drawing/2014/main" id="{1B1F3C12-6E3D-4DA2-99C0-CE0B87B60596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4" name="$C$2">
            <a:extLst>
              <a:ext uri="{FF2B5EF4-FFF2-40B4-BE49-F238E27FC236}">
                <a16:creationId xmlns:a16="http://schemas.microsoft.com/office/drawing/2014/main" id="{86F0CA7F-EF1E-4BFF-AAE9-99945F95BFF5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5" name="$C$2">
            <a:extLst>
              <a:ext uri="{FF2B5EF4-FFF2-40B4-BE49-F238E27FC236}">
                <a16:creationId xmlns:a16="http://schemas.microsoft.com/office/drawing/2014/main" id="{475D4988-EC0A-4989-93D3-0A1B40BC074F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6" name="$C$2">
            <a:extLst>
              <a:ext uri="{FF2B5EF4-FFF2-40B4-BE49-F238E27FC236}">
                <a16:creationId xmlns:a16="http://schemas.microsoft.com/office/drawing/2014/main" id="{8CFFB046-C9E5-421E-BEEC-0D5D9FBA47BC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7" name="$C$2">
            <a:extLst>
              <a:ext uri="{FF2B5EF4-FFF2-40B4-BE49-F238E27FC236}">
                <a16:creationId xmlns:a16="http://schemas.microsoft.com/office/drawing/2014/main" id="{7DE4C461-4378-4576-88C1-01DC9A777B23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8" name="$C$2">
            <a:extLst>
              <a:ext uri="{FF2B5EF4-FFF2-40B4-BE49-F238E27FC236}">
                <a16:creationId xmlns:a16="http://schemas.microsoft.com/office/drawing/2014/main" id="{10805338-EDC5-4EBF-B1C3-BEF4D9C3C5AD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9" name="$C$2">
            <a:extLst>
              <a:ext uri="{FF2B5EF4-FFF2-40B4-BE49-F238E27FC236}">
                <a16:creationId xmlns:a16="http://schemas.microsoft.com/office/drawing/2014/main" id="{24F12DD0-53E1-4B5C-BBAC-47F08E815A88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0" name="$C$2">
            <a:extLst>
              <a:ext uri="{FF2B5EF4-FFF2-40B4-BE49-F238E27FC236}">
                <a16:creationId xmlns:a16="http://schemas.microsoft.com/office/drawing/2014/main" id="{C515ADF9-F4BF-476D-A342-93DFA851756F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1" name="$C$2">
            <a:extLst>
              <a:ext uri="{FF2B5EF4-FFF2-40B4-BE49-F238E27FC236}">
                <a16:creationId xmlns:a16="http://schemas.microsoft.com/office/drawing/2014/main" id="{C809BD2E-62A0-491C-ABEF-038D3A3BDD0F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2" name="$C$2">
            <a:extLst>
              <a:ext uri="{FF2B5EF4-FFF2-40B4-BE49-F238E27FC236}">
                <a16:creationId xmlns:a16="http://schemas.microsoft.com/office/drawing/2014/main" id="{5C0DEBCB-1FF2-4F8E-9475-C486BB9961BD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3" name="$C$2">
            <a:extLst>
              <a:ext uri="{FF2B5EF4-FFF2-40B4-BE49-F238E27FC236}">
                <a16:creationId xmlns:a16="http://schemas.microsoft.com/office/drawing/2014/main" id="{6430A2D4-BCA8-415C-B366-8E183C776BC8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4" name="$C$2">
            <a:extLst>
              <a:ext uri="{FF2B5EF4-FFF2-40B4-BE49-F238E27FC236}">
                <a16:creationId xmlns:a16="http://schemas.microsoft.com/office/drawing/2014/main" id="{BB493173-BB98-4C4D-9C50-75595BA54B0A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5" name="$C$2">
            <a:extLst>
              <a:ext uri="{FF2B5EF4-FFF2-40B4-BE49-F238E27FC236}">
                <a16:creationId xmlns:a16="http://schemas.microsoft.com/office/drawing/2014/main" id="{D0D1B416-5413-42AF-A03C-65535E719DE7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6" name="$C$2">
            <a:extLst>
              <a:ext uri="{FF2B5EF4-FFF2-40B4-BE49-F238E27FC236}">
                <a16:creationId xmlns:a16="http://schemas.microsoft.com/office/drawing/2014/main" id="{9987CB79-B44A-4584-8D31-F36158CA4425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7" name="$C$2">
            <a:extLst>
              <a:ext uri="{FF2B5EF4-FFF2-40B4-BE49-F238E27FC236}">
                <a16:creationId xmlns:a16="http://schemas.microsoft.com/office/drawing/2014/main" id="{B33EC967-5E19-48AB-A74F-A98C9C688CC7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8" name="$C$2">
            <a:extLst>
              <a:ext uri="{FF2B5EF4-FFF2-40B4-BE49-F238E27FC236}">
                <a16:creationId xmlns:a16="http://schemas.microsoft.com/office/drawing/2014/main" id="{70B1BADB-84EF-4F7A-AB49-12FC8482ED74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9" name="$C$2">
            <a:extLst>
              <a:ext uri="{FF2B5EF4-FFF2-40B4-BE49-F238E27FC236}">
                <a16:creationId xmlns:a16="http://schemas.microsoft.com/office/drawing/2014/main" id="{F8508DA9-1C15-43F2-BEF5-AF941F1FBCEA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0" name="$C$2">
            <a:extLst>
              <a:ext uri="{FF2B5EF4-FFF2-40B4-BE49-F238E27FC236}">
                <a16:creationId xmlns:a16="http://schemas.microsoft.com/office/drawing/2014/main" id="{DA133F5A-AEB5-41D6-99C4-E887BC9090D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1" name="$C$2">
            <a:extLst>
              <a:ext uri="{FF2B5EF4-FFF2-40B4-BE49-F238E27FC236}">
                <a16:creationId xmlns:a16="http://schemas.microsoft.com/office/drawing/2014/main" id="{FA928FAC-AD23-4F1D-A8DC-5315E571B117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2" name="$C$2">
            <a:extLst>
              <a:ext uri="{FF2B5EF4-FFF2-40B4-BE49-F238E27FC236}">
                <a16:creationId xmlns:a16="http://schemas.microsoft.com/office/drawing/2014/main" id="{F4B796E1-1887-49CC-884F-64C8C3D23857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3" name="$C$2">
            <a:extLst>
              <a:ext uri="{FF2B5EF4-FFF2-40B4-BE49-F238E27FC236}">
                <a16:creationId xmlns:a16="http://schemas.microsoft.com/office/drawing/2014/main" id="{0C6C2E08-EE22-4E5B-804D-06ECD6CEE9DD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4" name="$C$2">
            <a:extLst>
              <a:ext uri="{FF2B5EF4-FFF2-40B4-BE49-F238E27FC236}">
                <a16:creationId xmlns:a16="http://schemas.microsoft.com/office/drawing/2014/main" id="{B4F118BB-24CA-48EB-9C59-60A18B77934C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5" name="$C$2">
            <a:extLst>
              <a:ext uri="{FF2B5EF4-FFF2-40B4-BE49-F238E27FC236}">
                <a16:creationId xmlns:a16="http://schemas.microsoft.com/office/drawing/2014/main" id="{F3E0ABB6-47FF-4675-B49E-F598B0BA919B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6" name="$C$2">
            <a:extLst>
              <a:ext uri="{FF2B5EF4-FFF2-40B4-BE49-F238E27FC236}">
                <a16:creationId xmlns:a16="http://schemas.microsoft.com/office/drawing/2014/main" id="{0E7F0615-1D76-48DE-A7D9-703AB8200A8A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7" name="$C$2">
            <a:extLst>
              <a:ext uri="{FF2B5EF4-FFF2-40B4-BE49-F238E27FC236}">
                <a16:creationId xmlns:a16="http://schemas.microsoft.com/office/drawing/2014/main" id="{714D295C-3071-4B10-9ADA-570EF7374A78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8" name="$C$2">
            <a:extLst>
              <a:ext uri="{FF2B5EF4-FFF2-40B4-BE49-F238E27FC236}">
                <a16:creationId xmlns:a16="http://schemas.microsoft.com/office/drawing/2014/main" id="{092D5607-F800-4782-ACEB-765F9A101F3E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9" name="$C$2">
            <a:extLst>
              <a:ext uri="{FF2B5EF4-FFF2-40B4-BE49-F238E27FC236}">
                <a16:creationId xmlns:a16="http://schemas.microsoft.com/office/drawing/2014/main" id="{E37E8B2D-FCAA-410D-B45F-9E5BB43F1EEA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0" name="$C$2">
            <a:extLst>
              <a:ext uri="{FF2B5EF4-FFF2-40B4-BE49-F238E27FC236}">
                <a16:creationId xmlns:a16="http://schemas.microsoft.com/office/drawing/2014/main" id="{BB0A7199-F896-489E-8CA5-97E3C747A12B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1" name="$C$2">
            <a:extLst>
              <a:ext uri="{FF2B5EF4-FFF2-40B4-BE49-F238E27FC236}">
                <a16:creationId xmlns:a16="http://schemas.microsoft.com/office/drawing/2014/main" id="{908DC63D-0403-4D16-8D45-FA7126A02426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2" name="$C$2">
            <a:extLst>
              <a:ext uri="{FF2B5EF4-FFF2-40B4-BE49-F238E27FC236}">
                <a16:creationId xmlns:a16="http://schemas.microsoft.com/office/drawing/2014/main" id="{A392E083-CEDF-4093-82F1-194F344282D9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3" name="$C$2">
            <a:extLst>
              <a:ext uri="{FF2B5EF4-FFF2-40B4-BE49-F238E27FC236}">
                <a16:creationId xmlns:a16="http://schemas.microsoft.com/office/drawing/2014/main" id="{8690C9EF-590E-4C58-A0B4-B210F99814FE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4" name="$C$2">
            <a:extLst>
              <a:ext uri="{FF2B5EF4-FFF2-40B4-BE49-F238E27FC236}">
                <a16:creationId xmlns:a16="http://schemas.microsoft.com/office/drawing/2014/main" id="{F06347BF-0086-46C8-8DCC-5E52ABBD1A5C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5" name="$C$2">
            <a:extLst>
              <a:ext uri="{FF2B5EF4-FFF2-40B4-BE49-F238E27FC236}">
                <a16:creationId xmlns:a16="http://schemas.microsoft.com/office/drawing/2014/main" id="{12D341CF-000E-4B46-90D0-CEC89A492559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6" name="$C$2">
            <a:extLst>
              <a:ext uri="{FF2B5EF4-FFF2-40B4-BE49-F238E27FC236}">
                <a16:creationId xmlns:a16="http://schemas.microsoft.com/office/drawing/2014/main" id="{96D60754-752A-48E6-8191-6ACF27A75AB5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7" name="$C$2">
            <a:extLst>
              <a:ext uri="{FF2B5EF4-FFF2-40B4-BE49-F238E27FC236}">
                <a16:creationId xmlns:a16="http://schemas.microsoft.com/office/drawing/2014/main" id="{2B1329AF-E9E2-4FEA-89C7-9598D1D91364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8" name="$C$2">
            <a:extLst>
              <a:ext uri="{FF2B5EF4-FFF2-40B4-BE49-F238E27FC236}">
                <a16:creationId xmlns:a16="http://schemas.microsoft.com/office/drawing/2014/main" id="{E5B14DEA-F745-4B12-B530-8ECDA9795624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9" name="$C$2">
            <a:extLst>
              <a:ext uri="{FF2B5EF4-FFF2-40B4-BE49-F238E27FC236}">
                <a16:creationId xmlns:a16="http://schemas.microsoft.com/office/drawing/2014/main" id="{1897AB35-FB1E-42A3-8416-F988E37B350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0" name="$C$2">
            <a:extLst>
              <a:ext uri="{FF2B5EF4-FFF2-40B4-BE49-F238E27FC236}">
                <a16:creationId xmlns:a16="http://schemas.microsoft.com/office/drawing/2014/main" id="{758C20CB-4538-4E14-94CA-7ED7CE1F004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1" name="$C$2">
            <a:extLst>
              <a:ext uri="{FF2B5EF4-FFF2-40B4-BE49-F238E27FC236}">
                <a16:creationId xmlns:a16="http://schemas.microsoft.com/office/drawing/2014/main" id="{5C5919CD-579E-4909-A0FD-1C6C311D688A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2" name="$C$2">
            <a:extLst>
              <a:ext uri="{FF2B5EF4-FFF2-40B4-BE49-F238E27FC236}">
                <a16:creationId xmlns:a16="http://schemas.microsoft.com/office/drawing/2014/main" id="{2C456918-DA71-4883-A276-72BB7D0EE8D9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3" name="$C$2">
            <a:extLst>
              <a:ext uri="{FF2B5EF4-FFF2-40B4-BE49-F238E27FC236}">
                <a16:creationId xmlns:a16="http://schemas.microsoft.com/office/drawing/2014/main" id="{4F2FB373-2904-4D83-ABE5-AC3C13A2F87E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4" name="$C$2">
            <a:extLst>
              <a:ext uri="{FF2B5EF4-FFF2-40B4-BE49-F238E27FC236}">
                <a16:creationId xmlns:a16="http://schemas.microsoft.com/office/drawing/2014/main" id="{F4F8DFA2-2AAF-45B0-A067-EC2747443449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5" name="$C$2">
            <a:extLst>
              <a:ext uri="{FF2B5EF4-FFF2-40B4-BE49-F238E27FC236}">
                <a16:creationId xmlns:a16="http://schemas.microsoft.com/office/drawing/2014/main" id="{5F4D5C1E-505A-4593-9706-178D348FAA79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6" name="$C$2">
            <a:extLst>
              <a:ext uri="{FF2B5EF4-FFF2-40B4-BE49-F238E27FC236}">
                <a16:creationId xmlns:a16="http://schemas.microsoft.com/office/drawing/2014/main" id="{FB6C7F25-0F6D-40D2-A9F6-B5F526706F1F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7" name="$C$2">
            <a:extLst>
              <a:ext uri="{FF2B5EF4-FFF2-40B4-BE49-F238E27FC236}">
                <a16:creationId xmlns:a16="http://schemas.microsoft.com/office/drawing/2014/main" id="{25D61EEC-B90D-4030-9EC0-44A932AB648B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8" name="$C$2">
            <a:extLst>
              <a:ext uri="{FF2B5EF4-FFF2-40B4-BE49-F238E27FC236}">
                <a16:creationId xmlns:a16="http://schemas.microsoft.com/office/drawing/2014/main" id="{B941CD8D-5D25-479E-9E1F-17169B49AAB8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9" name="$C$2">
            <a:extLst>
              <a:ext uri="{FF2B5EF4-FFF2-40B4-BE49-F238E27FC236}">
                <a16:creationId xmlns:a16="http://schemas.microsoft.com/office/drawing/2014/main" id="{ABAA82F4-344C-4F7C-928D-A9B755193E9B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0" name="$C$2">
            <a:extLst>
              <a:ext uri="{FF2B5EF4-FFF2-40B4-BE49-F238E27FC236}">
                <a16:creationId xmlns:a16="http://schemas.microsoft.com/office/drawing/2014/main" id="{7A2718A4-5AE5-4F98-BA40-8C84FF313B22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1" name="$C$2">
            <a:extLst>
              <a:ext uri="{FF2B5EF4-FFF2-40B4-BE49-F238E27FC236}">
                <a16:creationId xmlns:a16="http://schemas.microsoft.com/office/drawing/2014/main" id="{AB73C420-37F3-436B-87A7-F318D52832EA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2" name="$C$2">
            <a:extLst>
              <a:ext uri="{FF2B5EF4-FFF2-40B4-BE49-F238E27FC236}">
                <a16:creationId xmlns:a16="http://schemas.microsoft.com/office/drawing/2014/main" id="{C532525A-26DE-45DE-BA35-6E5CFFD55073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3" name="$C$2">
            <a:extLst>
              <a:ext uri="{FF2B5EF4-FFF2-40B4-BE49-F238E27FC236}">
                <a16:creationId xmlns:a16="http://schemas.microsoft.com/office/drawing/2014/main" id="{68B19467-94D0-4F82-BB03-35A642E6BC89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4" name="$C$2">
            <a:extLst>
              <a:ext uri="{FF2B5EF4-FFF2-40B4-BE49-F238E27FC236}">
                <a16:creationId xmlns:a16="http://schemas.microsoft.com/office/drawing/2014/main" id="{B735C613-E858-4FF4-89B7-A095F116AD14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5" name="$C$2">
            <a:extLst>
              <a:ext uri="{FF2B5EF4-FFF2-40B4-BE49-F238E27FC236}">
                <a16:creationId xmlns:a16="http://schemas.microsoft.com/office/drawing/2014/main" id="{639BC498-58F3-403A-9F15-DC9B5DC5E56C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6" name="$C$2">
            <a:extLst>
              <a:ext uri="{FF2B5EF4-FFF2-40B4-BE49-F238E27FC236}">
                <a16:creationId xmlns:a16="http://schemas.microsoft.com/office/drawing/2014/main" id="{4DD9BFE8-0435-4E25-81F2-BAA825FFF248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7" name="$C$2">
            <a:extLst>
              <a:ext uri="{FF2B5EF4-FFF2-40B4-BE49-F238E27FC236}">
                <a16:creationId xmlns:a16="http://schemas.microsoft.com/office/drawing/2014/main" id="{3835AA8D-B938-48F1-8511-F258ABA7DA67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8" name="$C$2">
            <a:extLst>
              <a:ext uri="{FF2B5EF4-FFF2-40B4-BE49-F238E27FC236}">
                <a16:creationId xmlns:a16="http://schemas.microsoft.com/office/drawing/2014/main" id="{FF826ADB-A8EC-46B8-9228-2B4A53D9D2FC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9" name="$C$2">
            <a:extLst>
              <a:ext uri="{FF2B5EF4-FFF2-40B4-BE49-F238E27FC236}">
                <a16:creationId xmlns:a16="http://schemas.microsoft.com/office/drawing/2014/main" id="{D1B4FDAA-7E58-4F10-86B0-9B8455330F36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0" name="$C$2">
            <a:extLst>
              <a:ext uri="{FF2B5EF4-FFF2-40B4-BE49-F238E27FC236}">
                <a16:creationId xmlns:a16="http://schemas.microsoft.com/office/drawing/2014/main" id="{679A0D34-07E2-4EF1-AF02-E2B16461722F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1" name="$C$2">
            <a:extLst>
              <a:ext uri="{FF2B5EF4-FFF2-40B4-BE49-F238E27FC236}">
                <a16:creationId xmlns:a16="http://schemas.microsoft.com/office/drawing/2014/main" id="{F3EFD80C-2158-445C-8882-27781934AF8D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2" name="$C$2">
            <a:extLst>
              <a:ext uri="{FF2B5EF4-FFF2-40B4-BE49-F238E27FC236}">
                <a16:creationId xmlns:a16="http://schemas.microsoft.com/office/drawing/2014/main" id="{37FB4C7B-945B-499A-92BE-14AF637C2BDD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3" name="$C$2">
            <a:extLst>
              <a:ext uri="{FF2B5EF4-FFF2-40B4-BE49-F238E27FC236}">
                <a16:creationId xmlns:a16="http://schemas.microsoft.com/office/drawing/2014/main" id="{F3424D2C-098D-42A8-8F4A-22CB4CEDAE54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4" name="$C$2">
            <a:extLst>
              <a:ext uri="{FF2B5EF4-FFF2-40B4-BE49-F238E27FC236}">
                <a16:creationId xmlns:a16="http://schemas.microsoft.com/office/drawing/2014/main" id="{66CAB1B2-FFF2-4A98-9B0F-9D78576EEC87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5" name="$C$2">
            <a:extLst>
              <a:ext uri="{FF2B5EF4-FFF2-40B4-BE49-F238E27FC236}">
                <a16:creationId xmlns:a16="http://schemas.microsoft.com/office/drawing/2014/main" id="{A105882E-CA84-41E7-BFA8-E3463033EEC2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6" name="$C$2">
            <a:extLst>
              <a:ext uri="{FF2B5EF4-FFF2-40B4-BE49-F238E27FC236}">
                <a16:creationId xmlns:a16="http://schemas.microsoft.com/office/drawing/2014/main" id="{B9D043CA-FBA1-425E-BA8E-2B9D647CC6CD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7" name="$C$2">
            <a:extLst>
              <a:ext uri="{FF2B5EF4-FFF2-40B4-BE49-F238E27FC236}">
                <a16:creationId xmlns:a16="http://schemas.microsoft.com/office/drawing/2014/main" id="{2CE30A4D-2E10-4DF5-AE54-654699EC1BE8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8" name="$C$2">
            <a:extLst>
              <a:ext uri="{FF2B5EF4-FFF2-40B4-BE49-F238E27FC236}">
                <a16:creationId xmlns:a16="http://schemas.microsoft.com/office/drawing/2014/main" id="{853027BA-7391-47B1-9DC8-30CBDCBDC38E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9" name="$C$2">
            <a:extLst>
              <a:ext uri="{FF2B5EF4-FFF2-40B4-BE49-F238E27FC236}">
                <a16:creationId xmlns:a16="http://schemas.microsoft.com/office/drawing/2014/main" id="{ABABB77D-EF19-40C2-9A1D-72617B31A29C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0" name="$C$2">
            <a:extLst>
              <a:ext uri="{FF2B5EF4-FFF2-40B4-BE49-F238E27FC236}">
                <a16:creationId xmlns:a16="http://schemas.microsoft.com/office/drawing/2014/main" id="{5C12D4E1-5B62-4A6C-BA3E-FB757E8B14EE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1" name="$C$2">
            <a:extLst>
              <a:ext uri="{FF2B5EF4-FFF2-40B4-BE49-F238E27FC236}">
                <a16:creationId xmlns:a16="http://schemas.microsoft.com/office/drawing/2014/main" id="{DADAF008-4911-4B6D-BBF8-48C0F7E2FA67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2" name="$C$2">
            <a:extLst>
              <a:ext uri="{FF2B5EF4-FFF2-40B4-BE49-F238E27FC236}">
                <a16:creationId xmlns:a16="http://schemas.microsoft.com/office/drawing/2014/main" id="{E69B7A32-EB5C-4EE6-A427-080991C8D5AE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3" name="$C$2">
            <a:extLst>
              <a:ext uri="{FF2B5EF4-FFF2-40B4-BE49-F238E27FC236}">
                <a16:creationId xmlns:a16="http://schemas.microsoft.com/office/drawing/2014/main" id="{119CC265-7AE0-4BA7-99F1-EABD1ECBD053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4" name="$C$2">
            <a:extLst>
              <a:ext uri="{FF2B5EF4-FFF2-40B4-BE49-F238E27FC236}">
                <a16:creationId xmlns:a16="http://schemas.microsoft.com/office/drawing/2014/main" id="{C809B414-CC72-4D9B-BDD0-FA08824D9D2C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5" name="$C$2">
            <a:extLst>
              <a:ext uri="{FF2B5EF4-FFF2-40B4-BE49-F238E27FC236}">
                <a16:creationId xmlns:a16="http://schemas.microsoft.com/office/drawing/2014/main" id="{C96CE76D-B81F-41F5-94F1-641D5465F84F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6" name="$C$2">
            <a:extLst>
              <a:ext uri="{FF2B5EF4-FFF2-40B4-BE49-F238E27FC236}">
                <a16:creationId xmlns:a16="http://schemas.microsoft.com/office/drawing/2014/main" id="{CD6336DF-5ED7-4304-BB8B-20F2E9C6099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7" name="$C$2">
            <a:extLst>
              <a:ext uri="{FF2B5EF4-FFF2-40B4-BE49-F238E27FC236}">
                <a16:creationId xmlns:a16="http://schemas.microsoft.com/office/drawing/2014/main" id="{B29174AB-DC99-492D-93C4-6C5AE8C42C2A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8" name="$C$2">
            <a:extLst>
              <a:ext uri="{FF2B5EF4-FFF2-40B4-BE49-F238E27FC236}">
                <a16:creationId xmlns:a16="http://schemas.microsoft.com/office/drawing/2014/main" id="{8C3913E6-7823-4C2C-9BEB-AFA8FDA8F653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9" name="$C$2">
            <a:extLst>
              <a:ext uri="{FF2B5EF4-FFF2-40B4-BE49-F238E27FC236}">
                <a16:creationId xmlns:a16="http://schemas.microsoft.com/office/drawing/2014/main" id="{504373F5-22AE-4F0B-BDAB-D89F7C1B8007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0" name="$C$2">
            <a:extLst>
              <a:ext uri="{FF2B5EF4-FFF2-40B4-BE49-F238E27FC236}">
                <a16:creationId xmlns:a16="http://schemas.microsoft.com/office/drawing/2014/main" id="{69E00BF4-7BDF-4794-AC02-9788286AAE93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1" name="$C$2">
            <a:extLst>
              <a:ext uri="{FF2B5EF4-FFF2-40B4-BE49-F238E27FC236}">
                <a16:creationId xmlns:a16="http://schemas.microsoft.com/office/drawing/2014/main" id="{50DA1F48-EFE8-44B6-B08D-91DD5D23047D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2" name="$C$2">
            <a:extLst>
              <a:ext uri="{FF2B5EF4-FFF2-40B4-BE49-F238E27FC236}">
                <a16:creationId xmlns:a16="http://schemas.microsoft.com/office/drawing/2014/main" id="{783DCFD7-B0CE-4355-B95C-FEB57FC6B6E9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3" name="$C$2">
            <a:extLst>
              <a:ext uri="{FF2B5EF4-FFF2-40B4-BE49-F238E27FC236}">
                <a16:creationId xmlns:a16="http://schemas.microsoft.com/office/drawing/2014/main" id="{DF6F3AA6-6170-4986-AA2F-EF6A8932FF29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4" name="$C$2">
            <a:extLst>
              <a:ext uri="{FF2B5EF4-FFF2-40B4-BE49-F238E27FC236}">
                <a16:creationId xmlns:a16="http://schemas.microsoft.com/office/drawing/2014/main" id="{A39ED20D-4DD4-4128-BF40-D3A3EB555796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5" name="$C$2">
            <a:extLst>
              <a:ext uri="{FF2B5EF4-FFF2-40B4-BE49-F238E27FC236}">
                <a16:creationId xmlns:a16="http://schemas.microsoft.com/office/drawing/2014/main" id="{0A1DF553-1E60-4BDE-8238-C475B2F8B187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6" name="$C$2">
            <a:extLst>
              <a:ext uri="{FF2B5EF4-FFF2-40B4-BE49-F238E27FC236}">
                <a16:creationId xmlns:a16="http://schemas.microsoft.com/office/drawing/2014/main" id="{C6C335FF-4A49-4A99-AC74-04BA4EAC0AB4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7" name="$C$2">
            <a:extLst>
              <a:ext uri="{FF2B5EF4-FFF2-40B4-BE49-F238E27FC236}">
                <a16:creationId xmlns:a16="http://schemas.microsoft.com/office/drawing/2014/main" id="{75182439-A58E-4262-9549-2D390579D5BD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8" name="$C$2">
            <a:extLst>
              <a:ext uri="{FF2B5EF4-FFF2-40B4-BE49-F238E27FC236}">
                <a16:creationId xmlns:a16="http://schemas.microsoft.com/office/drawing/2014/main" id="{5EE62E63-52E2-4F76-8C09-8FFBCB31128E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9" name="$C$2">
            <a:extLst>
              <a:ext uri="{FF2B5EF4-FFF2-40B4-BE49-F238E27FC236}">
                <a16:creationId xmlns:a16="http://schemas.microsoft.com/office/drawing/2014/main" id="{F85B7000-44AF-4CD0-B08C-770A0A848EB9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0" name="$C$2">
            <a:extLst>
              <a:ext uri="{FF2B5EF4-FFF2-40B4-BE49-F238E27FC236}">
                <a16:creationId xmlns:a16="http://schemas.microsoft.com/office/drawing/2014/main" id="{0540A649-F58F-448C-BB71-5A778A7857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1" name="$C$2">
            <a:extLst>
              <a:ext uri="{FF2B5EF4-FFF2-40B4-BE49-F238E27FC236}">
                <a16:creationId xmlns:a16="http://schemas.microsoft.com/office/drawing/2014/main" id="{E556891B-1A6F-41D9-B0DC-7C40507EC6B1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2" name="$C$2">
            <a:extLst>
              <a:ext uri="{FF2B5EF4-FFF2-40B4-BE49-F238E27FC236}">
                <a16:creationId xmlns:a16="http://schemas.microsoft.com/office/drawing/2014/main" id="{C003F74F-50BA-426E-BE2C-E91BF159DFB3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3" name="$C$2">
            <a:extLst>
              <a:ext uri="{FF2B5EF4-FFF2-40B4-BE49-F238E27FC236}">
                <a16:creationId xmlns:a16="http://schemas.microsoft.com/office/drawing/2014/main" id="{BD35D336-8C05-4D16-95EB-C28C826788CC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4" name="$C$2">
            <a:extLst>
              <a:ext uri="{FF2B5EF4-FFF2-40B4-BE49-F238E27FC236}">
                <a16:creationId xmlns:a16="http://schemas.microsoft.com/office/drawing/2014/main" id="{E2204A37-DBF7-4B66-AAF7-21690BDE282F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5" name="$C$2">
            <a:extLst>
              <a:ext uri="{FF2B5EF4-FFF2-40B4-BE49-F238E27FC236}">
                <a16:creationId xmlns:a16="http://schemas.microsoft.com/office/drawing/2014/main" id="{1728063B-3D50-45C0-916D-4A08504BCDEE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6" name="$C$2">
            <a:extLst>
              <a:ext uri="{FF2B5EF4-FFF2-40B4-BE49-F238E27FC236}">
                <a16:creationId xmlns:a16="http://schemas.microsoft.com/office/drawing/2014/main" id="{FA6B5AC3-1C9F-40DD-97B5-A4594AAC2929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7" name="$C$2">
            <a:extLst>
              <a:ext uri="{FF2B5EF4-FFF2-40B4-BE49-F238E27FC236}">
                <a16:creationId xmlns:a16="http://schemas.microsoft.com/office/drawing/2014/main" id="{F6C1815D-4ED1-4AE0-8B20-732B4337C368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8" name="$C$2">
            <a:extLst>
              <a:ext uri="{FF2B5EF4-FFF2-40B4-BE49-F238E27FC236}">
                <a16:creationId xmlns:a16="http://schemas.microsoft.com/office/drawing/2014/main" id="{940A57AD-7F8A-4D96-8066-36A21643B25C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9" name="$C$2">
            <a:extLst>
              <a:ext uri="{FF2B5EF4-FFF2-40B4-BE49-F238E27FC236}">
                <a16:creationId xmlns:a16="http://schemas.microsoft.com/office/drawing/2014/main" id="{01AE8489-AB4B-47EB-944A-257916F55848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0" name="$C$2">
            <a:extLst>
              <a:ext uri="{FF2B5EF4-FFF2-40B4-BE49-F238E27FC236}">
                <a16:creationId xmlns:a16="http://schemas.microsoft.com/office/drawing/2014/main" id="{80B6AC63-0933-4850-A525-07B1C3F1C585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1" name="$C$2">
            <a:extLst>
              <a:ext uri="{FF2B5EF4-FFF2-40B4-BE49-F238E27FC236}">
                <a16:creationId xmlns:a16="http://schemas.microsoft.com/office/drawing/2014/main" id="{561E149E-7E4E-4FEF-83C6-4A355886EF5F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2" name="$C$2">
            <a:extLst>
              <a:ext uri="{FF2B5EF4-FFF2-40B4-BE49-F238E27FC236}">
                <a16:creationId xmlns:a16="http://schemas.microsoft.com/office/drawing/2014/main" id="{8032372F-C252-44CC-8F95-55EBD583EC6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3" name="$C$2">
            <a:extLst>
              <a:ext uri="{FF2B5EF4-FFF2-40B4-BE49-F238E27FC236}">
                <a16:creationId xmlns:a16="http://schemas.microsoft.com/office/drawing/2014/main" id="{D6017ED9-C53E-4040-B15F-60B1790B7A0F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4" name="$C$2">
            <a:extLst>
              <a:ext uri="{FF2B5EF4-FFF2-40B4-BE49-F238E27FC236}">
                <a16:creationId xmlns:a16="http://schemas.microsoft.com/office/drawing/2014/main" id="{8BB432A1-4BF0-4FFB-8F0D-2CB015E0991B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5" name="$C$2">
            <a:extLst>
              <a:ext uri="{FF2B5EF4-FFF2-40B4-BE49-F238E27FC236}">
                <a16:creationId xmlns:a16="http://schemas.microsoft.com/office/drawing/2014/main" id="{AE347FD9-C607-4EB1-B38B-C86A0F942BCA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6" name="$C$2">
            <a:extLst>
              <a:ext uri="{FF2B5EF4-FFF2-40B4-BE49-F238E27FC236}">
                <a16:creationId xmlns:a16="http://schemas.microsoft.com/office/drawing/2014/main" id="{870CAF63-D1AE-4FDA-B0C8-69805A6D2BA7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7" name="$C$2">
            <a:extLst>
              <a:ext uri="{FF2B5EF4-FFF2-40B4-BE49-F238E27FC236}">
                <a16:creationId xmlns:a16="http://schemas.microsoft.com/office/drawing/2014/main" id="{C3DAB2E0-9B86-437E-90E8-BBBA377D21FD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8" name="$C$2">
            <a:extLst>
              <a:ext uri="{FF2B5EF4-FFF2-40B4-BE49-F238E27FC236}">
                <a16:creationId xmlns:a16="http://schemas.microsoft.com/office/drawing/2014/main" id="{031DD06B-D2BE-4CB3-A8E4-FABDB613C5CF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9" name="$C$2">
            <a:extLst>
              <a:ext uri="{FF2B5EF4-FFF2-40B4-BE49-F238E27FC236}">
                <a16:creationId xmlns:a16="http://schemas.microsoft.com/office/drawing/2014/main" id="{E85E8ABF-995A-4F47-8408-E2CD7A9F4DA6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19138</xdr:colOff>
      <xdr:row>1</xdr:row>
      <xdr:rowOff>19139</xdr:rowOff>
    </xdr:from>
    <xdr:to>
      <xdr:col>4</xdr:col>
      <xdr:colOff>1626781</xdr:colOff>
      <xdr:row>1</xdr:row>
      <xdr:rowOff>1421042</xdr:rowOff>
    </xdr:to>
    <xdr:grpSp>
      <xdr:nvGrpSpPr>
        <xdr:cNvPr id="38953" name="$E$2" descr="Code128 barcode, 7 characters" title="test">
          <a:extLst>
            <a:ext uri="{FF2B5EF4-FFF2-40B4-BE49-F238E27FC236}">
              <a16:creationId xmlns:a16="http://schemas.microsoft.com/office/drawing/2014/main" id="{8759A0EA-C426-47F3-85D7-527917B4FE93}"/>
            </a:ext>
          </a:extLst>
        </xdr:cNvPr>
        <xdr:cNvGrpSpPr/>
      </xdr:nvGrpSpPr>
      <xdr:grpSpPr>
        <a:xfrm>
          <a:off x="6031318" y="1444079"/>
          <a:ext cx="1607643" cy="1401903"/>
          <a:chOff x="0" y="0"/>
          <a:chExt cx="1003300" cy="12700"/>
        </a:xfrm>
      </xdr:grpSpPr>
      <xdr:sp macro="" textlink="">
        <xdr:nvSpPr>
          <xdr:cNvPr id="38931" name="$E$2">
            <a:extLst>
              <a:ext uri="{FF2B5EF4-FFF2-40B4-BE49-F238E27FC236}">
                <a16:creationId xmlns:a16="http://schemas.microsoft.com/office/drawing/2014/main" id="{17ED2631-6C97-47EF-B6EA-503848A0858D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2" name="$E$2">
            <a:extLst>
              <a:ext uri="{FF2B5EF4-FFF2-40B4-BE49-F238E27FC236}">
                <a16:creationId xmlns:a16="http://schemas.microsoft.com/office/drawing/2014/main" id="{F8E27731-7E81-45F1-A804-DC3DF6ADBFBA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3" name="$E$2">
            <a:extLst>
              <a:ext uri="{FF2B5EF4-FFF2-40B4-BE49-F238E27FC236}">
                <a16:creationId xmlns:a16="http://schemas.microsoft.com/office/drawing/2014/main" id="{AF25DE78-4E3B-4AA5-AAD0-0856A89FF0FF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4" name="$E$2">
            <a:extLst>
              <a:ext uri="{FF2B5EF4-FFF2-40B4-BE49-F238E27FC236}">
                <a16:creationId xmlns:a16="http://schemas.microsoft.com/office/drawing/2014/main" id="{21143E50-0197-4FF8-A375-43B361C61472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5" name="$E$2">
            <a:extLst>
              <a:ext uri="{FF2B5EF4-FFF2-40B4-BE49-F238E27FC236}">
                <a16:creationId xmlns:a16="http://schemas.microsoft.com/office/drawing/2014/main" id="{0922A1EC-0EC0-4FC4-A461-16BA07001A0A}"/>
              </a:ext>
            </a:extLst>
          </xdr:cNvPr>
          <xdr:cNvSpPr/>
        </xdr:nvSpPr>
        <xdr:spPr>
          <a:xfrm>
            <a:off x="1778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6" name="$E$2">
            <a:extLst>
              <a:ext uri="{FF2B5EF4-FFF2-40B4-BE49-F238E27FC236}">
                <a16:creationId xmlns:a16="http://schemas.microsoft.com/office/drawing/2014/main" id="{B54C62FC-A7C8-406B-863D-490BA71BBAE2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7" name="$E$2">
            <a:extLst>
              <a:ext uri="{FF2B5EF4-FFF2-40B4-BE49-F238E27FC236}">
                <a16:creationId xmlns:a16="http://schemas.microsoft.com/office/drawing/2014/main" id="{92728255-497A-4069-9687-68BA45F377B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8" name="$E$2">
            <a:extLst>
              <a:ext uri="{FF2B5EF4-FFF2-40B4-BE49-F238E27FC236}">
                <a16:creationId xmlns:a16="http://schemas.microsoft.com/office/drawing/2014/main" id="{F28390B0-4D8A-43DC-8124-5F8210E488C6}"/>
              </a:ext>
            </a:extLst>
          </xdr:cNvPr>
          <xdr:cNvSpPr/>
        </xdr:nvSpPr>
        <xdr:spPr>
          <a:xfrm>
            <a:off x="3048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9" name="$E$2">
            <a:extLst>
              <a:ext uri="{FF2B5EF4-FFF2-40B4-BE49-F238E27FC236}">
                <a16:creationId xmlns:a16="http://schemas.microsoft.com/office/drawing/2014/main" id="{EBD8F8B6-D34B-45EE-9F34-C7328E8B88E2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0" name="$E$2">
            <a:extLst>
              <a:ext uri="{FF2B5EF4-FFF2-40B4-BE49-F238E27FC236}">
                <a16:creationId xmlns:a16="http://schemas.microsoft.com/office/drawing/2014/main" id="{506B1E48-318E-4380-8E93-C5878F074B5D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1" name="$E$2">
            <a:extLst>
              <a:ext uri="{FF2B5EF4-FFF2-40B4-BE49-F238E27FC236}">
                <a16:creationId xmlns:a16="http://schemas.microsoft.com/office/drawing/2014/main" id="{4D234D96-F297-4070-86CE-FA314B5331A4}"/>
              </a:ext>
            </a:extLst>
          </xdr:cNvPr>
          <xdr:cNvSpPr/>
        </xdr:nvSpPr>
        <xdr:spPr>
          <a:xfrm>
            <a:off x="4445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2" name="$E$2">
            <a:extLst>
              <a:ext uri="{FF2B5EF4-FFF2-40B4-BE49-F238E27FC236}">
                <a16:creationId xmlns:a16="http://schemas.microsoft.com/office/drawing/2014/main" id="{6FB83DCC-D80A-4948-A853-D469FEE5A344}"/>
              </a:ext>
            </a:extLst>
          </xdr:cNvPr>
          <xdr:cNvSpPr/>
        </xdr:nvSpPr>
        <xdr:spPr>
          <a:xfrm>
            <a:off x="520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3" name="$E$2">
            <a:extLst>
              <a:ext uri="{FF2B5EF4-FFF2-40B4-BE49-F238E27FC236}">
                <a16:creationId xmlns:a16="http://schemas.microsoft.com/office/drawing/2014/main" id="{97B441A4-AEEC-4C1C-B23A-6BEFBC3A60FC}"/>
              </a:ext>
            </a:extLst>
          </xdr:cNvPr>
          <xdr:cNvSpPr/>
        </xdr:nvSpPr>
        <xdr:spPr>
          <a:xfrm>
            <a:off x="5588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4" name="$E$2">
            <a:extLst>
              <a:ext uri="{FF2B5EF4-FFF2-40B4-BE49-F238E27FC236}">
                <a16:creationId xmlns:a16="http://schemas.microsoft.com/office/drawing/2014/main" id="{0E605427-5B99-404E-814B-1A9089B36685}"/>
              </a:ext>
            </a:extLst>
          </xdr:cNvPr>
          <xdr:cNvSpPr/>
        </xdr:nvSpPr>
        <xdr:spPr>
          <a:xfrm>
            <a:off x="5969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5" name="$E$2">
            <a:extLst>
              <a:ext uri="{FF2B5EF4-FFF2-40B4-BE49-F238E27FC236}">
                <a16:creationId xmlns:a16="http://schemas.microsoft.com/office/drawing/2014/main" id="{A04D5FFF-D10B-4F72-8FC2-7139F2678E51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6" name="$E$2">
            <a:extLst>
              <a:ext uri="{FF2B5EF4-FFF2-40B4-BE49-F238E27FC236}">
                <a16:creationId xmlns:a16="http://schemas.microsoft.com/office/drawing/2014/main" id="{E215F495-FD83-45F3-9370-1F22CF4E66B6}"/>
              </a:ext>
            </a:extLst>
          </xdr:cNvPr>
          <xdr:cNvSpPr/>
        </xdr:nvSpPr>
        <xdr:spPr>
          <a:xfrm>
            <a:off x="6985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7" name="$E$2">
            <a:extLst>
              <a:ext uri="{FF2B5EF4-FFF2-40B4-BE49-F238E27FC236}">
                <a16:creationId xmlns:a16="http://schemas.microsoft.com/office/drawing/2014/main" id="{A676E618-9371-4DEE-98D4-1F3321B7F07F}"/>
              </a:ext>
            </a:extLst>
          </xdr:cNvPr>
          <xdr:cNvSpPr/>
        </xdr:nvSpPr>
        <xdr:spPr>
          <a:xfrm>
            <a:off x="774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8" name="$E$2">
            <a:extLst>
              <a:ext uri="{FF2B5EF4-FFF2-40B4-BE49-F238E27FC236}">
                <a16:creationId xmlns:a16="http://schemas.microsoft.com/office/drawing/2014/main" id="{4FBC85DD-76B3-49AE-9DB8-867E6A928C6E}"/>
              </a:ext>
            </a:extLst>
          </xdr:cNvPr>
          <xdr:cNvSpPr/>
        </xdr:nvSpPr>
        <xdr:spPr>
          <a:xfrm>
            <a:off x="800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9" name="$E$2">
            <a:extLst>
              <a:ext uri="{FF2B5EF4-FFF2-40B4-BE49-F238E27FC236}">
                <a16:creationId xmlns:a16="http://schemas.microsoft.com/office/drawing/2014/main" id="{8D46D394-664C-4349-AD9B-B2334A833441}"/>
              </a:ext>
            </a:extLst>
          </xdr:cNvPr>
          <xdr:cNvSpPr/>
        </xdr:nvSpPr>
        <xdr:spPr>
          <a:xfrm>
            <a:off x="8382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0" name="$E$2">
            <a:extLst>
              <a:ext uri="{FF2B5EF4-FFF2-40B4-BE49-F238E27FC236}">
                <a16:creationId xmlns:a16="http://schemas.microsoft.com/office/drawing/2014/main" id="{AA38253E-8586-4E43-99D1-296262BAE6D4}"/>
              </a:ext>
            </a:extLst>
          </xdr:cNvPr>
          <xdr:cNvSpPr/>
        </xdr:nvSpPr>
        <xdr:spPr>
          <a:xfrm>
            <a:off x="9017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1" name="$E$2">
            <a:extLst>
              <a:ext uri="{FF2B5EF4-FFF2-40B4-BE49-F238E27FC236}">
                <a16:creationId xmlns:a16="http://schemas.microsoft.com/office/drawing/2014/main" id="{474EF29B-E888-41AD-B175-8ED93C5940E4}"/>
              </a:ext>
            </a:extLst>
          </xdr:cNvPr>
          <xdr:cNvSpPr/>
        </xdr:nvSpPr>
        <xdr:spPr>
          <a:xfrm>
            <a:off x="9525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2" name="$E$2">
            <a:extLst>
              <a:ext uri="{FF2B5EF4-FFF2-40B4-BE49-F238E27FC236}">
                <a16:creationId xmlns:a16="http://schemas.microsoft.com/office/drawing/2014/main" id="{28F1FA7F-17FB-4CB1-8766-D53BF986F589}"/>
              </a:ext>
            </a:extLst>
          </xdr:cNvPr>
          <xdr:cNvSpPr/>
        </xdr:nvSpPr>
        <xdr:spPr>
          <a:xfrm>
            <a:off x="9779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24880</xdr:colOff>
      <xdr:row>1</xdr:row>
      <xdr:rowOff>112933</xdr:rowOff>
    </xdr:from>
    <xdr:to>
      <xdr:col>1</xdr:col>
      <xdr:colOff>2383039</xdr:colOff>
      <xdr:row>1</xdr:row>
      <xdr:rowOff>1327248</xdr:rowOff>
    </xdr:to>
    <xdr:grpSp>
      <xdr:nvGrpSpPr>
        <xdr:cNvPr id="39542" name="$B$2" descr="PDF417 barcode, security 2, nbcol 1, 11x86 cells" title="test">
          <a:extLst>
            <a:ext uri="{FF2B5EF4-FFF2-40B4-BE49-F238E27FC236}">
              <a16:creationId xmlns:a16="http://schemas.microsoft.com/office/drawing/2014/main" id="{C05D028F-6600-4162-ACA0-66E9F225E406}"/>
            </a:ext>
          </a:extLst>
        </xdr:cNvPr>
        <xdr:cNvGrpSpPr>
          <a:grpSpLocks noChangeAspect="1"/>
        </xdr:cNvGrpSpPr>
      </xdr:nvGrpSpPr>
      <xdr:grpSpPr>
        <a:xfrm>
          <a:off x="992620" y="1537873"/>
          <a:ext cx="2358159" cy="1214315"/>
          <a:chOff x="12700" y="0"/>
          <a:chExt cx="1092200" cy="457200"/>
        </a:xfrm>
      </xdr:grpSpPr>
      <xdr:sp macro="" textlink="">
        <xdr:nvSpPr>
          <xdr:cNvPr id="38954" name="$B$2">
            <a:extLst>
              <a:ext uri="{FF2B5EF4-FFF2-40B4-BE49-F238E27FC236}">
                <a16:creationId xmlns:a16="http://schemas.microsoft.com/office/drawing/2014/main" id="{80693258-6371-4896-B483-197B383C636D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5" name="$B$2">
            <a:extLst>
              <a:ext uri="{FF2B5EF4-FFF2-40B4-BE49-F238E27FC236}">
                <a16:creationId xmlns:a16="http://schemas.microsoft.com/office/drawing/2014/main" id="{E38ACB2C-98C9-4D66-88D9-261EA4D92510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6" name="$B$2">
            <a:extLst>
              <a:ext uri="{FF2B5EF4-FFF2-40B4-BE49-F238E27FC236}">
                <a16:creationId xmlns:a16="http://schemas.microsoft.com/office/drawing/2014/main" id="{2A8A264C-8DF2-4E34-BE34-32805F2E8230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7" name="$B$2">
            <a:extLst>
              <a:ext uri="{FF2B5EF4-FFF2-40B4-BE49-F238E27FC236}">
                <a16:creationId xmlns:a16="http://schemas.microsoft.com/office/drawing/2014/main" id="{6C48D5BD-FB08-40A4-8B52-40F3A566289A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8" name="$B$2">
            <a:extLst>
              <a:ext uri="{FF2B5EF4-FFF2-40B4-BE49-F238E27FC236}">
                <a16:creationId xmlns:a16="http://schemas.microsoft.com/office/drawing/2014/main" id="{449FFCCC-E069-4596-ADC5-E439629F7E2A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9" name="$B$2">
            <a:extLst>
              <a:ext uri="{FF2B5EF4-FFF2-40B4-BE49-F238E27FC236}">
                <a16:creationId xmlns:a16="http://schemas.microsoft.com/office/drawing/2014/main" id="{211CC783-C436-4C38-9E5B-294F7B92F344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0" name="$B$2">
            <a:extLst>
              <a:ext uri="{FF2B5EF4-FFF2-40B4-BE49-F238E27FC236}">
                <a16:creationId xmlns:a16="http://schemas.microsoft.com/office/drawing/2014/main" id="{91207767-B80F-40BA-9D45-149F1353DB95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1" name="$B$2">
            <a:extLst>
              <a:ext uri="{FF2B5EF4-FFF2-40B4-BE49-F238E27FC236}">
                <a16:creationId xmlns:a16="http://schemas.microsoft.com/office/drawing/2014/main" id="{A9910469-456F-422D-89ED-2F3ECBDE0585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2" name="$B$2">
            <a:extLst>
              <a:ext uri="{FF2B5EF4-FFF2-40B4-BE49-F238E27FC236}">
                <a16:creationId xmlns:a16="http://schemas.microsoft.com/office/drawing/2014/main" id="{20434C65-888C-4E31-8E3D-302F6B885352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3" name="$B$2">
            <a:extLst>
              <a:ext uri="{FF2B5EF4-FFF2-40B4-BE49-F238E27FC236}">
                <a16:creationId xmlns:a16="http://schemas.microsoft.com/office/drawing/2014/main" id="{51A5538B-C3CD-4656-BF33-F5237B61979E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4" name="$B$2">
            <a:extLst>
              <a:ext uri="{FF2B5EF4-FFF2-40B4-BE49-F238E27FC236}">
                <a16:creationId xmlns:a16="http://schemas.microsoft.com/office/drawing/2014/main" id="{56F26FB3-5CA8-4B2E-B74B-3C4B71DB43E0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5" name="$B$2">
            <a:extLst>
              <a:ext uri="{FF2B5EF4-FFF2-40B4-BE49-F238E27FC236}">
                <a16:creationId xmlns:a16="http://schemas.microsoft.com/office/drawing/2014/main" id="{C42BCA8D-92D0-411B-91E1-8D5886C96725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6" name="$B$2">
            <a:extLst>
              <a:ext uri="{FF2B5EF4-FFF2-40B4-BE49-F238E27FC236}">
                <a16:creationId xmlns:a16="http://schemas.microsoft.com/office/drawing/2014/main" id="{35B7E968-25B2-4196-8B28-AA8861085669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7" name="$B$2">
            <a:extLst>
              <a:ext uri="{FF2B5EF4-FFF2-40B4-BE49-F238E27FC236}">
                <a16:creationId xmlns:a16="http://schemas.microsoft.com/office/drawing/2014/main" id="{14DE8CD5-9D4D-4ED1-8600-0630CF837510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8" name="$B$2">
            <a:extLst>
              <a:ext uri="{FF2B5EF4-FFF2-40B4-BE49-F238E27FC236}">
                <a16:creationId xmlns:a16="http://schemas.microsoft.com/office/drawing/2014/main" id="{CE3E7FC1-0A3E-4E5F-942C-3972302535FF}"/>
              </a:ext>
            </a:extLst>
          </xdr:cNvPr>
          <xdr:cNvSpPr/>
        </xdr:nvSpPr>
        <xdr:spPr>
          <a:xfrm>
            <a:off x="279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9" name="$B$2">
            <a:extLst>
              <a:ext uri="{FF2B5EF4-FFF2-40B4-BE49-F238E27FC236}">
                <a16:creationId xmlns:a16="http://schemas.microsoft.com/office/drawing/2014/main" id="{6734BF73-C930-4147-8EB0-6B425392EC1C}"/>
              </a:ext>
            </a:extLst>
          </xdr:cNvPr>
          <xdr:cNvSpPr/>
        </xdr:nvSpPr>
        <xdr:spPr>
          <a:xfrm>
            <a:off x="304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0" name="$B$2">
            <a:extLst>
              <a:ext uri="{FF2B5EF4-FFF2-40B4-BE49-F238E27FC236}">
                <a16:creationId xmlns:a16="http://schemas.microsoft.com/office/drawing/2014/main" id="{541398CE-0390-4EA7-B089-AF706EC9C9D3}"/>
              </a:ext>
            </a:extLst>
          </xdr:cNvPr>
          <xdr:cNvSpPr/>
        </xdr:nvSpPr>
        <xdr:spPr>
          <a:xfrm>
            <a:off x="342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1" name="$B$2">
            <a:extLst>
              <a:ext uri="{FF2B5EF4-FFF2-40B4-BE49-F238E27FC236}">
                <a16:creationId xmlns:a16="http://schemas.microsoft.com/office/drawing/2014/main" id="{67476459-0358-4A54-A2D0-B0D25B33819B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2" name="$B$2">
            <a:extLst>
              <a:ext uri="{FF2B5EF4-FFF2-40B4-BE49-F238E27FC236}">
                <a16:creationId xmlns:a16="http://schemas.microsoft.com/office/drawing/2014/main" id="{55DA8BA7-21DC-4556-A241-CDBB86410C83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3" name="$B$2">
            <a:extLst>
              <a:ext uri="{FF2B5EF4-FFF2-40B4-BE49-F238E27FC236}">
                <a16:creationId xmlns:a16="http://schemas.microsoft.com/office/drawing/2014/main" id="{2FD11658-049E-40DA-9641-9B9B7B8115D5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4" name="$B$2">
            <a:extLst>
              <a:ext uri="{FF2B5EF4-FFF2-40B4-BE49-F238E27FC236}">
                <a16:creationId xmlns:a16="http://schemas.microsoft.com/office/drawing/2014/main" id="{A7E1ED92-8A3B-4E6A-A1C4-E695428AA915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5" name="$B$2">
            <a:extLst>
              <a:ext uri="{FF2B5EF4-FFF2-40B4-BE49-F238E27FC236}">
                <a16:creationId xmlns:a16="http://schemas.microsoft.com/office/drawing/2014/main" id="{A70913EC-679B-4229-8699-986324D722EC}"/>
              </a:ext>
            </a:extLst>
          </xdr:cNvPr>
          <xdr:cNvSpPr/>
        </xdr:nvSpPr>
        <xdr:spPr>
          <a:xfrm>
            <a:off x="469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6" name="$B$2">
            <a:extLst>
              <a:ext uri="{FF2B5EF4-FFF2-40B4-BE49-F238E27FC236}">
                <a16:creationId xmlns:a16="http://schemas.microsoft.com/office/drawing/2014/main" id="{BD11E7EA-73B7-4332-9830-56EF0674AC8E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7" name="$B$2">
            <a:extLst>
              <a:ext uri="{FF2B5EF4-FFF2-40B4-BE49-F238E27FC236}">
                <a16:creationId xmlns:a16="http://schemas.microsoft.com/office/drawing/2014/main" id="{45F34FF8-1398-441F-B7D7-2765CFAB50A2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8" name="$B$2">
            <a:extLst>
              <a:ext uri="{FF2B5EF4-FFF2-40B4-BE49-F238E27FC236}">
                <a16:creationId xmlns:a16="http://schemas.microsoft.com/office/drawing/2014/main" id="{F58E669C-4E80-46DE-B43D-D27A3A20EAB0}"/>
              </a:ext>
            </a:extLst>
          </xdr:cNvPr>
          <xdr:cNvSpPr/>
        </xdr:nvSpPr>
        <xdr:spPr>
          <a:xfrm>
            <a:off x="533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9" name="$B$2">
            <a:extLst>
              <a:ext uri="{FF2B5EF4-FFF2-40B4-BE49-F238E27FC236}">
                <a16:creationId xmlns:a16="http://schemas.microsoft.com/office/drawing/2014/main" id="{82111A40-AAA6-4BBA-9D02-177545E1CA9F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0" name="$B$2">
            <a:extLst>
              <a:ext uri="{FF2B5EF4-FFF2-40B4-BE49-F238E27FC236}">
                <a16:creationId xmlns:a16="http://schemas.microsoft.com/office/drawing/2014/main" id="{200C307D-5A45-4978-9DDF-346311D1B533}"/>
              </a:ext>
            </a:extLst>
          </xdr:cNvPr>
          <xdr:cNvSpPr/>
        </xdr:nvSpPr>
        <xdr:spPr>
          <a:xfrm>
            <a:off x="584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1" name="$B$2">
            <a:extLst>
              <a:ext uri="{FF2B5EF4-FFF2-40B4-BE49-F238E27FC236}">
                <a16:creationId xmlns:a16="http://schemas.microsoft.com/office/drawing/2014/main" id="{49E2FF43-44DE-4EB1-90DD-B5662B4C7DEF}"/>
              </a:ext>
            </a:extLst>
          </xdr:cNvPr>
          <xdr:cNvSpPr/>
        </xdr:nvSpPr>
        <xdr:spPr>
          <a:xfrm>
            <a:off x="596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2" name="$B$2">
            <a:extLst>
              <a:ext uri="{FF2B5EF4-FFF2-40B4-BE49-F238E27FC236}">
                <a16:creationId xmlns:a16="http://schemas.microsoft.com/office/drawing/2014/main" id="{D41A9E2C-AEE4-454B-88FD-B6C65167C457}"/>
              </a:ext>
            </a:extLst>
          </xdr:cNvPr>
          <xdr:cNvSpPr/>
        </xdr:nvSpPr>
        <xdr:spPr>
          <a:xfrm>
            <a:off x="609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3" name="$B$2">
            <a:extLst>
              <a:ext uri="{FF2B5EF4-FFF2-40B4-BE49-F238E27FC236}">
                <a16:creationId xmlns:a16="http://schemas.microsoft.com/office/drawing/2014/main" id="{1995BBC2-E17B-4A1F-B10D-81946173D67D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4" name="$B$2">
            <a:extLst>
              <a:ext uri="{FF2B5EF4-FFF2-40B4-BE49-F238E27FC236}">
                <a16:creationId xmlns:a16="http://schemas.microsoft.com/office/drawing/2014/main" id="{D38012AB-D779-4D62-A2CB-54B4C53F89AE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5" name="$B$2">
            <a:extLst>
              <a:ext uri="{FF2B5EF4-FFF2-40B4-BE49-F238E27FC236}">
                <a16:creationId xmlns:a16="http://schemas.microsoft.com/office/drawing/2014/main" id="{ECCD6C83-609C-4AAE-96F5-F23A41D0B71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6" name="$B$2">
            <a:extLst>
              <a:ext uri="{FF2B5EF4-FFF2-40B4-BE49-F238E27FC236}">
                <a16:creationId xmlns:a16="http://schemas.microsoft.com/office/drawing/2014/main" id="{A897B9E8-788B-48D1-92F7-5070C3FFC8F8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7" name="$B$2">
            <a:extLst>
              <a:ext uri="{FF2B5EF4-FFF2-40B4-BE49-F238E27FC236}">
                <a16:creationId xmlns:a16="http://schemas.microsoft.com/office/drawing/2014/main" id="{0652670E-0E81-4523-8B72-44C3575C5B5A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8" name="$B$2">
            <a:extLst>
              <a:ext uri="{FF2B5EF4-FFF2-40B4-BE49-F238E27FC236}">
                <a16:creationId xmlns:a16="http://schemas.microsoft.com/office/drawing/2014/main" id="{7C0FBA95-AD72-4ED1-BDC0-CF8DD8BD32FC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9" name="$B$2">
            <a:extLst>
              <a:ext uri="{FF2B5EF4-FFF2-40B4-BE49-F238E27FC236}">
                <a16:creationId xmlns:a16="http://schemas.microsoft.com/office/drawing/2014/main" id="{5A557DB4-0D61-4042-B00F-0F3143E1C079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0" name="$B$2">
            <a:extLst>
              <a:ext uri="{FF2B5EF4-FFF2-40B4-BE49-F238E27FC236}">
                <a16:creationId xmlns:a16="http://schemas.microsoft.com/office/drawing/2014/main" id="{92F0E479-7D3C-4272-94A8-1BDCB2BE45E1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1" name="$B$2">
            <a:extLst>
              <a:ext uri="{FF2B5EF4-FFF2-40B4-BE49-F238E27FC236}">
                <a16:creationId xmlns:a16="http://schemas.microsoft.com/office/drawing/2014/main" id="{1672927B-2B69-4891-98D3-83657C23D2F7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2" name="$B$2">
            <a:extLst>
              <a:ext uri="{FF2B5EF4-FFF2-40B4-BE49-F238E27FC236}">
                <a16:creationId xmlns:a16="http://schemas.microsoft.com/office/drawing/2014/main" id="{4890AF7C-1645-4077-B414-6649F559925A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3" name="$B$2">
            <a:extLst>
              <a:ext uri="{FF2B5EF4-FFF2-40B4-BE49-F238E27FC236}">
                <a16:creationId xmlns:a16="http://schemas.microsoft.com/office/drawing/2014/main" id="{C9439015-86DA-4318-8E4D-9283223ACF33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4" name="$B$2">
            <a:extLst>
              <a:ext uri="{FF2B5EF4-FFF2-40B4-BE49-F238E27FC236}">
                <a16:creationId xmlns:a16="http://schemas.microsoft.com/office/drawing/2014/main" id="{182BF734-A2BD-43DC-B9CD-AE1B68D7E88F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5" name="$B$2">
            <a:extLst>
              <a:ext uri="{FF2B5EF4-FFF2-40B4-BE49-F238E27FC236}">
                <a16:creationId xmlns:a16="http://schemas.microsoft.com/office/drawing/2014/main" id="{E1B50E1D-9A8C-4077-8E1A-9A3B78439C54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6" name="$B$2">
            <a:extLst>
              <a:ext uri="{FF2B5EF4-FFF2-40B4-BE49-F238E27FC236}">
                <a16:creationId xmlns:a16="http://schemas.microsoft.com/office/drawing/2014/main" id="{D03390CC-9A37-4A31-80AE-914F69875C9B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7" name="$B$2">
            <a:extLst>
              <a:ext uri="{FF2B5EF4-FFF2-40B4-BE49-F238E27FC236}">
                <a16:creationId xmlns:a16="http://schemas.microsoft.com/office/drawing/2014/main" id="{7634EC3C-C155-455F-9661-596E8D59AC24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8" name="$B$2">
            <a:extLst>
              <a:ext uri="{FF2B5EF4-FFF2-40B4-BE49-F238E27FC236}">
                <a16:creationId xmlns:a16="http://schemas.microsoft.com/office/drawing/2014/main" id="{CB8968C0-4F6C-4DE3-9D70-CBA6FC3D7A36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9" name="$B$2">
            <a:extLst>
              <a:ext uri="{FF2B5EF4-FFF2-40B4-BE49-F238E27FC236}">
                <a16:creationId xmlns:a16="http://schemas.microsoft.com/office/drawing/2014/main" id="{F11F90CB-69F5-4D70-A80E-6C498D842CCF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0" name="$B$2">
            <a:extLst>
              <a:ext uri="{FF2B5EF4-FFF2-40B4-BE49-F238E27FC236}">
                <a16:creationId xmlns:a16="http://schemas.microsoft.com/office/drawing/2014/main" id="{E167B268-DBEF-4B1B-9E9D-B24CBB580521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1" name="$B$2">
            <a:extLst>
              <a:ext uri="{FF2B5EF4-FFF2-40B4-BE49-F238E27FC236}">
                <a16:creationId xmlns:a16="http://schemas.microsoft.com/office/drawing/2014/main" id="{5B89EA63-DDC8-4ABA-B935-4E6D7214682F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2" name="$B$2">
            <a:extLst>
              <a:ext uri="{FF2B5EF4-FFF2-40B4-BE49-F238E27FC236}">
                <a16:creationId xmlns:a16="http://schemas.microsoft.com/office/drawing/2014/main" id="{87BDB100-D878-4A0B-B10D-FDB7BF83ED5A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3" name="$B$2">
            <a:extLst>
              <a:ext uri="{FF2B5EF4-FFF2-40B4-BE49-F238E27FC236}">
                <a16:creationId xmlns:a16="http://schemas.microsoft.com/office/drawing/2014/main" id="{1A71BCE2-48F5-4D1C-92E5-D7967D091290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4" name="$B$2">
            <a:extLst>
              <a:ext uri="{FF2B5EF4-FFF2-40B4-BE49-F238E27FC236}">
                <a16:creationId xmlns:a16="http://schemas.microsoft.com/office/drawing/2014/main" id="{618747CD-9D07-49B7-A79A-B4ED0978630B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5" name="$B$2">
            <a:extLst>
              <a:ext uri="{FF2B5EF4-FFF2-40B4-BE49-F238E27FC236}">
                <a16:creationId xmlns:a16="http://schemas.microsoft.com/office/drawing/2014/main" id="{FBDD1ABC-9F09-413A-BBC2-EAB07A4B9540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6" name="$B$2">
            <a:extLst>
              <a:ext uri="{FF2B5EF4-FFF2-40B4-BE49-F238E27FC236}">
                <a16:creationId xmlns:a16="http://schemas.microsoft.com/office/drawing/2014/main" id="{F53CE9FF-D2BA-4125-9DF7-C3A524026C60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7" name="$B$2">
            <a:extLst>
              <a:ext uri="{FF2B5EF4-FFF2-40B4-BE49-F238E27FC236}">
                <a16:creationId xmlns:a16="http://schemas.microsoft.com/office/drawing/2014/main" id="{0B58C19C-3A33-4AEC-9FFD-65233C40793D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8" name="$B$2">
            <a:extLst>
              <a:ext uri="{FF2B5EF4-FFF2-40B4-BE49-F238E27FC236}">
                <a16:creationId xmlns:a16="http://schemas.microsoft.com/office/drawing/2014/main" id="{3AD46339-0023-41D1-9E83-FF29A7DD6FA5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9" name="$B$2">
            <a:extLst>
              <a:ext uri="{FF2B5EF4-FFF2-40B4-BE49-F238E27FC236}">
                <a16:creationId xmlns:a16="http://schemas.microsoft.com/office/drawing/2014/main" id="{9A7AB206-7B9E-4811-BEDB-49E6695ED1F9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0" name="$B$2">
            <a:extLst>
              <a:ext uri="{FF2B5EF4-FFF2-40B4-BE49-F238E27FC236}">
                <a16:creationId xmlns:a16="http://schemas.microsoft.com/office/drawing/2014/main" id="{D8F8F597-AB6E-4586-A1EB-AB99E878B89A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1" name="$B$2">
            <a:extLst>
              <a:ext uri="{FF2B5EF4-FFF2-40B4-BE49-F238E27FC236}">
                <a16:creationId xmlns:a16="http://schemas.microsoft.com/office/drawing/2014/main" id="{45787368-D56D-45F0-ABE9-FB1C3DAD251F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2" name="$B$2">
            <a:extLst>
              <a:ext uri="{FF2B5EF4-FFF2-40B4-BE49-F238E27FC236}">
                <a16:creationId xmlns:a16="http://schemas.microsoft.com/office/drawing/2014/main" id="{9E73B934-E4F7-4F49-B4FE-B3FCF112036E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3" name="$B$2">
            <a:extLst>
              <a:ext uri="{FF2B5EF4-FFF2-40B4-BE49-F238E27FC236}">
                <a16:creationId xmlns:a16="http://schemas.microsoft.com/office/drawing/2014/main" id="{B3A122E8-6ECC-42B8-B7FA-B02328055C72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4" name="$B$2">
            <a:extLst>
              <a:ext uri="{FF2B5EF4-FFF2-40B4-BE49-F238E27FC236}">
                <a16:creationId xmlns:a16="http://schemas.microsoft.com/office/drawing/2014/main" id="{468275FC-BF4C-4EF2-8BA1-65312F34CDF8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5" name="$B$2">
            <a:extLst>
              <a:ext uri="{FF2B5EF4-FFF2-40B4-BE49-F238E27FC236}">
                <a16:creationId xmlns:a16="http://schemas.microsoft.com/office/drawing/2014/main" id="{3D8C781F-55ED-443E-BB66-AE5692FBCE98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6" name="$B$2">
            <a:extLst>
              <a:ext uri="{FF2B5EF4-FFF2-40B4-BE49-F238E27FC236}">
                <a16:creationId xmlns:a16="http://schemas.microsoft.com/office/drawing/2014/main" id="{A51D55CA-6D42-4F45-BAC7-420D5AEC9523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7" name="$B$2">
            <a:extLst>
              <a:ext uri="{FF2B5EF4-FFF2-40B4-BE49-F238E27FC236}">
                <a16:creationId xmlns:a16="http://schemas.microsoft.com/office/drawing/2014/main" id="{691837C4-1EB3-480A-B5C6-3B802D839D04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8" name="$B$2">
            <a:extLst>
              <a:ext uri="{FF2B5EF4-FFF2-40B4-BE49-F238E27FC236}">
                <a16:creationId xmlns:a16="http://schemas.microsoft.com/office/drawing/2014/main" id="{7C96C93C-1EE5-4387-9EC9-958F9B2FBAB7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9" name="$B$2">
            <a:extLst>
              <a:ext uri="{FF2B5EF4-FFF2-40B4-BE49-F238E27FC236}">
                <a16:creationId xmlns:a16="http://schemas.microsoft.com/office/drawing/2014/main" id="{A84B83A6-3933-4CB3-9C4B-7C3B0FD42EE3}"/>
              </a:ext>
            </a:extLst>
          </xdr:cNvPr>
          <xdr:cNvSpPr/>
        </xdr:nvSpPr>
        <xdr:spPr>
          <a:xfrm>
            <a:off x="381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0" name="$B$2">
            <a:extLst>
              <a:ext uri="{FF2B5EF4-FFF2-40B4-BE49-F238E27FC236}">
                <a16:creationId xmlns:a16="http://schemas.microsoft.com/office/drawing/2014/main" id="{721A1A3E-FB8F-47C0-86C0-6CCF873AD3D3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1" name="$B$2">
            <a:extLst>
              <a:ext uri="{FF2B5EF4-FFF2-40B4-BE49-F238E27FC236}">
                <a16:creationId xmlns:a16="http://schemas.microsoft.com/office/drawing/2014/main" id="{E04A61B8-33F5-4B65-A4AC-0A2A9583763A}"/>
              </a:ext>
            </a:extLst>
          </xdr:cNvPr>
          <xdr:cNvSpPr/>
        </xdr:nvSpPr>
        <xdr:spPr>
          <a:xfrm>
            <a:off x="457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2" name="$B$2">
            <a:extLst>
              <a:ext uri="{FF2B5EF4-FFF2-40B4-BE49-F238E27FC236}">
                <a16:creationId xmlns:a16="http://schemas.microsoft.com/office/drawing/2014/main" id="{D0FC8519-ADA6-4326-BED2-9D3E25AEC313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3" name="$B$2">
            <a:extLst>
              <a:ext uri="{FF2B5EF4-FFF2-40B4-BE49-F238E27FC236}">
                <a16:creationId xmlns:a16="http://schemas.microsoft.com/office/drawing/2014/main" id="{741FEAE8-599A-4C54-BF42-743389365E98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4" name="$B$2">
            <a:extLst>
              <a:ext uri="{FF2B5EF4-FFF2-40B4-BE49-F238E27FC236}">
                <a16:creationId xmlns:a16="http://schemas.microsoft.com/office/drawing/2014/main" id="{95F9FA88-496E-4588-8048-377ED2DCB694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5" name="$B$2">
            <a:extLst>
              <a:ext uri="{FF2B5EF4-FFF2-40B4-BE49-F238E27FC236}">
                <a16:creationId xmlns:a16="http://schemas.microsoft.com/office/drawing/2014/main" id="{B48AA8EB-221B-475E-B181-8F796E7DFADB}"/>
              </a:ext>
            </a:extLst>
          </xdr:cNvPr>
          <xdr:cNvSpPr/>
        </xdr:nvSpPr>
        <xdr:spPr>
          <a:xfrm>
            <a:off x="571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6" name="$B$2">
            <a:extLst>
              <a:ext uri="{FF2B5EF4-FFF2-40B4-BE49-F238E27FC236}">
                <a16:creationId xmlns:a16="http://schemas.microsoft.com/office/drawing/2014/main" id="{6FF0EDDB-F423-4F90-B510-7A5180C7AD1C}"/>
              </a:ext>
            </a:extLst>
          </xdr:cNvPr>
          <xdr:cNvSpPr/>
        </xdr:nvSpPr>
        <xdr:spPr>
          <a:xfrm>
            <a:off x="584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7" name="$B$2">
            <a:extLst>
              <a:ext uri="{FF2B5EF4-FFF2-40B4-BE49-F238E27FC236}">
                <a16:creationId xmlns:a16="http://schemas.microsoft.com/office/drawing/2014/main" id="{339D8131-9354-4D4F-958F-4D829E013AD5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8" name="$B$2">
            <a:extLst>
              <a:ext uri="{FF2B5EF4-FFF2-40B4-BE49-F238E27FC236}">
                <a16:creationId xmlns:a16="http://schemas.microsoft.com/office/drawing/2014/main" id="{69024DC0-4693-4041-BF85-B39C77A461CA}"/>
              </a:ext>
            </a:extLst>
          </xdr:cNvPr>
          <xdr:cNvSpPr/>
        </xdr:nvSpPr>
        <xdr:spPr>
          <a:xfrm>
            <a:off x="622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9" name="$B$2">
            <a:extLst>
              <a:ext uri="{FF2B5EF4-FFF2-40B4-BE49-F238E27FC236}">
                <a16:creationId xmlns:a16="http://schemas.microsoft.com/office/drawing/2014/main" id="{4225CA4E-9EC5-4BAC-859F-756DF3348C2A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0" name="$B$2">
            <a:extLst>
              <a:ext uri="{FF2B5EF4-FFF2-40B4-BE49-F238E27FC236}">
                <a16:creationId xmlns:a16="http://schemas.microsoft.com/office/drawing/2014/main" id="{8CE90CB1-ADCB-49C0-A991-AB2006FC6336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1" name="$B$2">
            <a:extLst>
              <a:ext uri="{FF2B5EF4-FFF2-40B4-BE49-F238E27FC236}">
                <a16:creationId xmlns:a16="http://schemas.microsoft.com/office/drawing/2014/main" id="{1E3F2C8B-FD40-4BA1-ADD2-ED9339D5DEC5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2" name="$B$2">
            <a:extLst>
              <a:ext uri="{FF2B5EF4-FFF2-40B4-BE49-F238E27FC236}">
                <a16:creationId xmlns:a16="http://schemas.microsoft.com/office/drawing/2014/main" id="{76AED612-83C7-484E-AA04-A0B542B00EE4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3" name="$B$2">
            <a:extLst>
              <a:ext uri="{FF2B5EF4-FFF2-40B4-BE49-F238E27FC236}">
                <a16:creationId xmlns:a16="http://schemas.microsoft.com/office/drawing/2014/main" id="{4C6B5F49-39F9-49F1-8621-100DD8E5E19C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4" name="$B$2">
            <a:extLst>
              <a:ext uri="{FF2B5EF4-FFF2-40B4-BE49-F238E27FC236}">
                <a16:creationId xmlns:a16="http://schemas.microsoft.com/office/drawing/2014/main" id="{F284E6C6-94AF-4644-961B-500A25CCA83F}"/>
              </a:ext>
            </a:extLst>
          </xdr:cNvPr>
          <xdr:cNvSpPr/>
        </xdr:nvSpPr>
        <xdr:spPr>
          <a:xfrm>
            <a:off x="736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5" name="$B$2">
            <a:extLst>
              <a:ext uri="{FF2B5EF4-FFF2-40B4-BE49-F238E27FC236}">
                <a16:creationId xmlns:a16="http://schemas.microsoft.com/office/drawing/2014/main" id="{E3CB7414-A663-49D8-9D27-E96312D9A86D}"/>
              </a:ext>
            </a:extLst>
          </xdr:cNvPr>
          <xdr:cNvSpPr/>
        </xdr:nvSpPr>
        <xdr:spPr>
          <a:xfrm>
            <a:off x="762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6" name="$B$2">
            <a:extLst>
              <a:ext uri="{FF2B5EF4-FFF2-40B4-BE49-F238E27FC236}">
                <a16:creationId xmlns:a16="http://schemas.microsoft.com/office/drawing/2014/main" id="{41B6A7CE-1C4A-4A9D-9158-9C17690F2BA8}"/>
              </a:ext>
            </a:extLst>
          </xdr:cNvPr>
          <xdr:cNvSpPr/>
        </xdr:nvSpPr>
        <xdr:spPr>
          <a:xfrm>
            <a:off x="800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7" name="$B$2">
            <a:extLst>
              <a:ext uri="{FF2B5EF4-FFF2-40B4-BE49-F238E27FC236}">
                <a16:creationId xmlns:a16="http://schemas.microsoft.com/office/drawing/2014/main" id="{210267F9-5945-4623-A7B0-3E8BF2922990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8" name="$B$2">
            <a:extLst>
              <a:ext uri="{FF2B5EF4-FFF2-40B4-BE49-F238E27FC236}">
                <a16:creationId xmlns:a16="http://schemas.microsoft.com/office/drawing/2014/main" id="{A6CE011C-13E5-4DE9-8BF2-2F0A467F1876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9" name="$B$2">
            <a:extLst>
              <a:ext uri="{FF2B5EF4-FFF2-40B4-BE49-F238E27FC236}">
                <a16:creationId xmlns:a16="http://schemas.microsoft.com/office/drawing/2014/main" id="{932A4944-2A36-4750-9D9D-2A6A407EE4A1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0" name="$B$2">
            <a:extLst>
              <a:ext uri="{FF2B5EF4-FFF2-40B4-BE49-F238E27FC236}">
                <a16:creationId xmlns:a16="http://schemas.microsoft.com/office/drawing/2014/main" id="{EA1818E1-1182-4558-95CD-C3A3C56C659A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1" name="$B$2">
            <a:extLst>
              <a:ext uri="{FF2B5EF4-FFF2-40B4-BE49-F238E27FC236}">
                <a16:creationId xmlns:a16="http://schemas.microsoft.com/office/drawing/2014/main" id="{564CA1A1-DD96-4FE9-AD64-50786250C9BD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2" name="$B$2">
            <a:extLst>
              <a:ext uri="{FF2B5EF4-FFF2-40B4-BE49-F238E27FC236}">
                <a16:creationId xmlns:a16="http://schemas.microsoft.com/office/drawing/2014/main" id="{D3440979-348E-4250-B6C4-4EBFA178A3F2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3" name="$B$2">
            <a:extLst>
              <a:ext uri="{FF2B5EF4-FFF2-40B4-BE49-F238E27FC236}">
                <a16:creationId xmlns:a16="http://schemas.microsoft.com/office/drawing/2014/main" id="{1796C8A2-9016-4A68-8630-7693FE66E70B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4" name="$B$2">
            <a:extLst>
              <a:ext uri="{FF2B5EF4-FFF2-40B4-BE49-F238E27FC236}">
                <a16:creationId xmlns:a16="http://schemas.microsoft.com/office/drawing/2014/main" id="{9864AC07-CF07-4BC9-B3D0-708B72250FF5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5" name="$B$2">
            <a:extLst>
              <a:ext uri="{FF2B5EF4-FFF2-40B4-BE49-F238E27FC236}">
                <a16:creationId xmlns:a16="http://schemas.microsoft.com/office/drawing/2014/main" id="{EE72F51D-8944-4327-954A-420D32A210C5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6" name="$B$2">
            <a:extLst>
              <a:ext uri="{FF2B5EF4-FFF2-40B4-BE49-F238E27FC236}">
                <a16:creationId xmlns:a16="http://schemas.microsoft.com/office/drawing/2014/main" id="{F0F7DD76-D1A4-4A87-B483-B935C9B2D405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7" name="$B$2">
            <a:extLst>
              <a:ext uri="{FF2B5EF4-FFF2-40B4-BE49-F238E27FC236}">
                <a16:creationId xmlns:a16="http://schemas.microsoft.com/office/drawing/2014/main" id="{8C845B36-77C3-4FC9-95ED-8CCB92060A7C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8" name="$B$2">
            <a:extLst>
              <a:ext uri="{FF2B5EF4-FFF2-40B4-BE49-F238E27FC236}">
                <a16:creationId xmlns:a16="http://schemas.microsoft.com/office/drawing/2014/main" id="{BE914725-9B42-47B7-BA58-E0685B862A81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9" name="$B$2">
            <a:extLst>
              <a:ext uri="{FF2B5EF4-FFF2-40B4-BE49-F238E27FC236}">
                <a16:creationId xmlns:a16="http://schemas.microsoft.com/office/drawing/2014/main" id="{13703932-BDC1-4958-8F14-4ED1800F601E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0" name="$B$2">
            <a:extLst>
              <a:ext uri="{FF2B5EF4-FFF2-40B4-BE49-F238E27FC236}">
                <a16:creationId xmlns:a16="http://schemas.microsoft.com/office/drawing/2014/main" id="{CA883E74-F1BF-4263-9B5B-9419D7FA9214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1" name="$B$2">
            <a:extLst>
              <a:ext uri="{FF2B5EF4-FFF2-40B4-BE49-F238E27FC236}">
                <a16:creationId xmlns:a16="http://schemas.microsoft.com/office/drawing/2014/main" id="{748F8323-EE57-44C7-B734-9ED87F217019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2" name="$B$2">
            <a:extLst>
              <a:ext uri="{FF2B5EF4-FFF2-40B4-BE49-F238E27FC236}">
                <a16:creationId xmlns:a16="http://schemas.microsoft.com/office/drawing/2014/main" id="{B8C498B6-EED2-4167-A3A5-E1266C38CB9B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3" name="$B$2">
            <a:extLst>
              <a:ext uri="{FF2B5EF4-FFF2-40B4-BE49-F238E27FC236}">
                <a16:creationId xmlns:a16="http://schemas.microsoft.com/office/drawing/2014/main" id="{A9512ACC-462D-41B0-8D24-0AA277DE1DE3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4" name="$B$2">
            <a:extLst>
              <a:ext uri="{FF2B5EF4-FFF2-40B4-BE49-F238E27FC236}">
                <a16:creationId xmlns:a16="http://schemas.microsoft.com/office/drawing/2014/main" id="{BFF2A820-0BDE-4010-A15A-229CD2E29E0D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5" name="$B$2">
            <a:extLst>
              <a:ext uri="{FF2B5EF4-FFF2-40B4-BE49-F238E27FC236}">
                <a16:creationId xmlns:a16="http://schemas.microsoft.com/office/drawing/2014/main" id="{AFC37DFC-9D0C-4A5D-9AE3-E3C0111A30F7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6" name="$B$2">
            <a:extLst>
              <a:ext uri="{FF2B5EF4-FFF2-40B4-BE49-F238E27FC236}">
                <a16:creationId xmlns:a16="http://schemas.microsoft.com/office/drawing/2014/main" id="{1E5CE831-BEFC-4E92-9FF5-6A2B45DF0896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7" name="$B$2">
            <a:extLst>
              <a:ext uri="{FF2B5EF4-FFF2-40B4-BE49-F238E27FC236}">
                <a16:creationId xmlns:a16="http://schemas.microsoft.com/office/drawing/2014/main" id="{E5FF20BE-80EB-492E-9E51-E1BD054F06EC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8" name="$B$2">
            <a:extLst>
              <a:ext uri="{FF2B5EF4-FFF2-40B4-BE49-F238E27FC236}">
                <a16:creationId xmlns:a16="http://schemas.microsoft.com/office/drawing/2014/main" id="{3CC187FC-AAE7-4659-A10D-4C60AD446C11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9" name="$B$2">
            <a:extLst>
              <a:ext uri="{FF2B5EF4-FFF2-40B4-BE49-F238E27FC236}">
                <a16:creationId xmlns:a16="http://schemas.microsoft.com/office/drawing/2014/main" id="{DE85D160-0577-4A72-8144-A5C5F1D54D7C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0" name="$B$2">
            <a:extLst>
              <a:ext uri="{FF2B5EF4-FFF2-40B4-BE49-F238E27FC236}">
                <a16:creationId xmlns:a16="http://schemas.microsoft.com/office/drawing/2014/main" id="{DC03C552-56F8-4D18-9411-32EE2473CF8A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1" name="$B$2">
            <a:extLst>
              <a:ext uri="{FF2B5EF4-FFF2-40B4-BE49-F238E27FC236}">
                <a16:creationId xmlns:a16="http://schemas.microsoft.com/office/drawing/2014/main" id="{18A5A5DB-8454-4C44-847F-94305D03A7BE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2" name="$B$2">
            <a:extLst>
              <a:ext uri="{FF2B5EF4-FFF2-40B4-BE49-F238E27FC236}">
                <a16:creationId xmlns:a16="http://schemas.microsoft.com/office/drawing/2014/main" id="{6F811B75-68D5-4FC6-8910-FD4B800B5ADC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3" name="$B$2">
            <a:extLst>
              <a:ext uri="{FF2B5EF4-FFF2-40B4-BE49-F238E27FC236}">
                <a16:creationId xmlns:a16="http://schemas.microsoft.com/office/drawing/2014/main" id="{9657FE5C-81D1-4C46-8549-A11485710C8F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4" name="$B$2">
            <a:extLst>
              <a:ext uri="{FF2B5EF4-FFF2-40B4-BE49-F238E27FC236}">
                <a16:creationId xmlns:a16="http://schemas.microsoft.com/office/drawing/2014/main" id="{0670031F-F48D-4B16-A220-8A49829228D6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5" name="$B$2">
            <a:extLst>
              <a:ext uri="{FF2B5EF4-FFF2-40B4-BE49-F238E27FC236}">
                <a16:creationId xmlns:a16="http://schemas.microsoft.com/office/drawing/2014/main" id="{651667DB-6A73-47BD-BACE-D9AD9E5C574D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6" name="$B$2">
            <a:extLst>
              <a:ext uri="{FF2B5EF4-FFF2-40B4-BE49-F238E27FC236}">
                <a16:creationId xmlns:a16="http://schemas.microsoft.com/office/drawing/2014/main" id="{BB94097D-3174-4F4A-ADEE-6C5E3AA42341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7" name="$B$2">
            <a:extLst>
              <a:ext uri="{FF2B5EF4-FFF2-40B4-BE49-F238E27FC236}">
                <a16:creationId xmlns:a16="http://schemas.microsoft.com/office/drawing/2014/main" id="{A9533C8B-3CBB-4900-9DE1-26356623449E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8" name="$B$2">
            <a:extLst>
              <a:ext uri="{FF2B5EF4-FFF2-40B4-BE49-F238E27FC236}">
                <a16:creationId xmlns:a16="http://schemas.microsoft.com/office/drawing/2014/main" id="{B9203A0C-C58F-4124-9770-6A5444F6BB8A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9" name="$B$2">
            <a:extLst>
              <a:ext uri="{FF2B5EF4-FFF2-40B4-BE49-F238E27FC236}">
                <a16:creationId xmlns:a16="http://schemas.microsoft.com/office/drawing/2014/main" id="{F0339A72-7F36-4547-96FF-F7F330890692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0" name="$B$2">
            <a:extLst>
              <a:ext uri="{FF2B5EF4-FFF2-40B4-BE49-F238E27FC236}">
                <a16:creationId xmlns:a16="http://schemas.microsoft.com/office/drawing/2014/main" id="{42E30A64-52C4-49A5-A9BB-A8975661270E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1" name="$B$2">
            <a:extLst>
              <a:ext uri="{FF2B5EF4-FFF2-40B4-BE49-F238E27FC236}">
                <a16:creationId xmlns:a16="http://schemas.microsoft.com/office/drawing/2014/main" id="{EB084D13-481A-4D71-8F30-CFB7A4290B35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2" name="$B$2">
            <a:extLst>
              <a:ext uri="{FF2B5EF4-FFF2-40B4-BE49-F238E27FC236}">
                <a16:creationId xmlns:a16="http://schemas.microsoft.com/office/drawing/2014/main" id="{98C8E057-CCE2-46E6-8A72-071596387FCF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3" name="$B$2">
            <a:extLst>
              <a:ext uri="{FF2B5EF4-FFF2-40B4-BE49-F238E27FC236}">
                <a16:creationId xmlns:a16="http://schemas.microsoft.com/office/drawing/2014/main" id="{4DA5B64B-BD38-48E9-AF01-67BDB04449A8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4" name="$B$2">
            <a:extLst>
              <a:ext uri="{FF2B5EF4-FFF2-40B4-BE49-F238E27FC236}">
                <a16:creationId xmlns:a16="http://schemas.microsoft.com/office/drawing/2014/main" id="{0BBB3711-D946-4BEE-98DA-988EFC0313EF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5" name="$B$2">
            <a:extLst>
              <a:ext uri="{FF2B5EF4-FFF2-40B4-BE49-F238E27FC236}">
                <a16:creationId xmlns:a16="http://schemas.microsoft.com/office/drawing/2014/main" id="{BE4939DD-A116-4197-917C-562426FB5D99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6" name="$B$2">
            <a:extLst>
              <a:ext uri="{FF2B5EF4-FFF2-40B4-BE49-F238E27FC236}">
                <a16:creationId xmlns:a16="http://schemas.microsoft.com/office/drawing/2014/main" id="{E9A18B16-A966-4CB4-9B79-B8A221A6A99B}"/>
              </a:ext>
            </a:extLst>
          </xdr:cNvPr>
          <xdr:cNvSpPr/>
        </xdr:nvSpPr>
        <xdr:spPr>
          <a:xfrm>
            <a:off x="622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7" name="$B$2">
            <a:extLst>
              <a:ext uri="{FF2B5EF4-FFF2-40B4-BE49-F238E27FC236}">
                <a16:creationId xmlns:a16="http://schemas.microsoft.com/office/drawing/2014/main" id="{FB498881-9C74-47E9-984C-6EE8D61C262C}"/>
              </a:ext>
            </a:extLst>
          </xdr:cNvPr>
          <xdr:cNvSpPr/>
        </xdr:nvSpPr>
        <xdr:spPr>
          <a:xfrm>
            <a:off x="635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8" name="$B$2">
            <a:extLst>
              <a:ext uri="{FF2B5EF4-FFF2-40B4-BE49-F238E27FC236}">
                <a16:creationId xmlns:a16="http://schemas.microsoft.com/office/drawing/2014/main" id="{69875141-E65C-463F-8DEB-593017B15FC8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9" name="$B$2">
            <a:extLst>
              <a:ext uri="{FF2B5EF4-FFF2-40B4-BE49-F238E27FC236}">
                <a16:creationId xmlns:a16="http://schemas.microsoft.com/office/drawing/2014/main" id="{993053EF-4850-44D1-B955-724463921453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0" name="$B$2">
            <a:extLst>
              <a:ext uri="{FF2B5EF4-FFF2-40B4-BE49-F238E27FC236}">
                <a16:creationId xmlns:a16="http://schemas.microsoft.com/office/drawing/2014/main" id="{BB449E1D-B466-4334-B0AE-06EB9FAFA088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1" name="$B$2">
            <a:extLst>
              <a:ext uri="{FF2B5EF4-FFF2-40B4-BE49-F238E27FC236}">
                <a16:creationId xmlns:a16="http://schemas.microsoft.com/office/drawing/2014/main" id="{7678343F-76FC-4EB2-B7B4-7860E5168906}"/>
              </a:ext>
            </a:extLst>
          </xdr:cNvPr>
          <xdr:cNvSpPr/>
        </xdr:nvSpPr>
        <xdr:spPr>
          <a:xfrm>
            <a:off x="774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2" name="$B$2">
            <a:extLst>
              <a:ext uri="{FF2B5EF4-FFF2-40B4-BE49-F238E27FC236}">
                <a16:creationId xmlns:a16="http://schemas.microsoft.com/office/drawing/2014/main" id="{CAE7CAF1-583C-44E3-929F-49CC8F040C51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3" name="$B$2">
            <a:extLst>
              <a:ext uri="{FF2B5EF4-FFF2-40B4-BE49-F238E27FC236}">
                <a16:creationId xmlns:a16="http://schemas.microsoft.com/office/drawing/2014/main" id="{7B68C7AA-1E06-4244-8DA4-6F7770FCDE20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4" name="$B$2">
            <a:extLst>
              <a:ext uri="{FF2B5EF4-FFF2-40B4-BE49-F238E27FC236}">
                <a16:creationId xmlns:a16="http://schemas.microsoft.com/office/drawing/2014/main" id="{28B353EC-C679-4421-87F4-C279B56D2566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5" name="$B$2">
            <a:extLst>
              <a:ext uri="{FF2B5EF4-FFF2-40B4-BE49-F238E27FC236}">
                <a16:creationId xmlns:a16="http://schemas.microsoft.com/office/drawing/2014/main" id="{807965FA-4AC4-4388-8361-B40A7FAA92CF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6" name="$B$2">
            <a:extLst>
              <a:ext uri="{FF2B5EF4-FFF2-40B4-BE49-F238E27FC236}">
                <a16:creationId xmlns:a16="http://schemas.microsoft.com/office/drawing/2014/main" id="{512DAD98-1E5E-4E33-A22C-5AA91A435FC7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7" name="$B$2">
            <a:extLst>
              <a:ext uri="{FF2B5EF4-FFF2-40B4-BE49-F238E27FC236}">
                <a16:creationId xmlns:a16="http://schemas.microsoft.com/office/drawing/2014/main" id="{8E8C8D62-2EA7-4815-8FBA-E5B1FD74F017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8" name="$B$2">
            <a:extLst>
              <a:ext uri="{FF2B5EF4-FFF2-40B4-BE49-F238E27FC236}">
                <a16:creationId xmlns:a16="http://schemas.microsoft.com/office/drawing/2014/main" id="{B9DE0470-7649-482E-A190-385937F5FC63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9" name="$B$2">
            <a:extLst>
              <a:ext uri="{FF2B5EF4-FFF2-40B4-BE49-F238E27FC236}">
                <a16:creationId xmlns:a16="http://schemas.microsoft.com/office/drawing/2014/main" id="{1D1F7266-5402-4CD3-A3D3-02F98C6F0594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0" name="$B$2">
            <a:extLst>
              <a:ext uri="{FF2B5EF4-FFF2-40B4-BE49-F238E27FC236}">
                <a16:creationId xmlns:a16="http://schemas.microsoft.com/office/drawing/2014/main" id="{8C399803-EC55-4BA7-96FA-903CA76239A8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1" name="$B$2">
            <a:extLst>
              <a:ext uri="{FF2B5EF4-FFF2-40B4-BE49-F238E27FC236}">
                <a16:creationId xmlns:a16="http://schemas.microsoft.com/office/drawing/2014/main" id="{012A4714-4F45-45FC-AC03-A7EA7E1579F4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2" name="$B$2">
            <a:extLst>
              <a:ext uri="{FF2B5EF4-FFF2-40B4-BE49-F238E27FC236}">
                <a16:creationId xmlns:a16="http://schemas.microsoft.com/office/drawing/2014/main" id="{E7CF3CA6-FF2F-4C46-8F8F-2A953A9F25D0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3" name="$B$2">
            <a:extLst>
              <a:ext uri="{FF2B5EF4-FFF2-40B4-BE49-F238E27FC236}">
                <a16:creationId xmlns:a16="http://schemas.microsoft.com/office/drawing/2014/main" id="{AC84933F-9211-46C3-9D5E-080E8880A972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4" name="$B$2">
            <a:extLst>
              <a:ext uri="{FF2B5EF4-FFF2-40B4-BE49-F238E27FC236}">
                <a16:creationId xmlns:a16="http://schemas.microsoft.com/office/drawing/2014/main" id="{07DC23F7-3CD6-47A0-B5A4-4305F6030507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5" name="$B$2">
            <a:extLst>
              <a:ext uri="{FF2B5EF4-FFF2-40B4-BE49-F238E27FC236}">
                <a16:creationId xmlns:a16="http://schemas.microsoft.com/office/drawing/2014/main" id="{882F6AEA-2742-4876-8E2E-3BAE25BEEC6F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6" name="$B$2">
            <a:extLst>
              <a:ext uri="{FF2B5EF4-FFF2-40B4-BE49-F238E27FC236}">
                <a16:creationId xmlns:a16="http://schemas.microsoft.com/office/drawing/2014/main" id="{05C25BCA-36DF-4D02-B9DA-7529D5508B7E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7" name="$B$2">
            <a:extLst>
              <a:ext uri="{FF2B5EF4-FFF2-40B4-BE49-F238E27FC236}">
                <a16:creationId xmlns:a16="http://schemas.microsoft.com/office/drawing/2014/main" id="{C62D5DA3-8FFC-4D75-B57C-89872A85236D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8" name="$B$2">
            <a:extLst>
              <a:ext uri="{FF2B5EF4-FFF2-40B4-BE49-F238E27FC236}">
                <a16:creationId xmlns:a16="http://schemas.microsoft.com/office/drawing/2014/main" id="{7346D4C6-9951-4295-80C3-5749875341DC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9" name="$B$2">
            <a:extLst>
              <a:ext uri="{FF2B5EF4-FFF2-40B4-BE49-F238E27FC236}">
                <a16:creationId xmlns:a16="http://schemas.microsoft.com/office/drawing/2014/main" id="{05CEA6C8-55B5-4CAD-969D-044D6831AFD4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0" name="$B$2">
            <a:extLst>
              <a:ext uri="{FF2B5EF4-FFF2-40B4-BE49-F238E27FC236}">
                <a16:creationId xmlns:a16="http://schemas.microsoft.com/office/drawing/2014/main" id="{2685AC50-95FA-4490-B35A-E17DD76408E0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1" name="$B$2">
            <a:extLst>
              <a:ext uri="{FF2B5EF4-FFF2-40B4-BE49-F238E27FC236}">
                <a16:creationId xmlns:a16="http://schemas.microsoft.com/office/drawing/2014/main" id="{42708134-451B-424C-9194-E162307A9FD8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2" name="$B$2">
            <a:extLst>
              <a:ext uri="{FF2B5EF4-FFF2-40B4-BE49-F238E27FC236}">
                <a16:creationId xmlns:a16="http://schemas.microsoft.com/office/drawing/2014/main" id="{457E3A45-D9E9-4718-98D8-024312DD5971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3" name="$B$2">
            <a:extLst>
              <a:ext uri="{FF2B5EF4-FFF2-40B4-BE49-F238E27FC236}">
                <a16:creationId xmlns:a16="http://schemas.microsoft.com/office/drawing/2014/main" id="{BD36F740-B51B-4C15-9D7C-5265C6F0BC62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4" name="$B$2">
            <a:extLst>
              <a:ext uri="{FF2B5EF4-FFF2-40B4-BE49-F238E27FC236}">
                <a16:creationId xmlns:a16="http://schemas.microsoft.com/office/drawing/2014/main" id="{CE340513-CAC4-419F-B30A-F0E191299621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5" name="$B$2">
            <a:extLst>
              <a:ext uri="{FF2B5EF4-FFF2-40B4-BE49-F238E27FC236}">
                <a16:creationId xmlns:a16="http://schemas.microsoft.com/office/drawing/2014/main" id="{9F08BCC5-0900-48C6-B9E6-850EB85EF791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6" name="$B$2">
            <a:extLst>
              <a:ext uri="{FF2B5EF4-FFF2-40B4-BE49-F238E27FC236}">
                <a16:creationId xmlns:a16="http://schemas.microsoft.com/office/drawing/2014/main" id="{10104484-B1E1-4F9E-948D-2C287D2A2582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7" name="$B$2">
            <a:extLst>
              <a:ext uri="{FF2B5EF4-FFF2-40B4-BE49-F238E27FC236}">
                <a16:creationId xmlns:a16="http://schemas.microsoft.com/office/drawing/2014/main" id="{5666538F-42C0-42B3-BF98-00650A08458A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8" name="$B$2">
            <a:extLst>
              <a:ext uri="{FF2B5EF4-FFF2-40B4-BE49-F238E27FC236}">
                <a16:creationId xmlns:a16="http://schemas.microsoft.com/office/drawing/2014/main" id="{C63A8577-90A2-4087-9C9C-9CEC539A647D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9" name="$B$2">
            <a:extLst>
              <a:ext uri="{FF2B5EF4-FFF2-40B4-BE49-F238E27FC236}">
                <a16:creationId xmlns:a16="http://schemas.microsoft.com/office/drawing/2014/main" id="{1968AF79-8E62-4C77-BD53-D9628989B31C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0" name="$B$2">
            <a:extLst>
              <a:ext uri="{FF2B5EF4-FFF2-40B4-BE49-F238E27FC236}">
                <a16:creationId xmlns:a16="http://schemas.microsoft.com/office/drawing/2014/main" id="{6042FD6E-DDE1-489E-9CF9-72F15B00EA9B}"/>
              </a:ext>
            </a:extLst>
          </xdr:cNvPr>
          <xdr:cNvSpPr/>
        </xdr:nvSpPr>
        <xdr:spPr>
          <a:xfrm>
            <a:off x="292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1" name="$B$2">
            <a:extLst>
              <a:ext uri="{FF2B5EF4-FFF2-40B4-BE49-F238E27FC236}">
                <a16:creationId xmlns:a16="http://schemas.microsoft.com/office/drawing/2014/main" id="{74E604BC-B060-4D67-9A84-FB4EE40D9E3C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2" name="$B$2">
            <a:extLst>
              <a:ext uri="{FF2B5EF4-FFF2-40B4-BE49-F238E27FC236}">
                <a16:creationId xmlns:a16="http://schemas.microsoft.com/office/drawing/2014/main" id="{6DE7DF6A-604B-4F47-B550-17E70F3F7753}"/>
              </a:ext>
            </a:extLst>
          </xdr:cNvPr>
          <xdr:cNvSpPr/>
        </xdr:nvSpPr>
        <xdr:spPr>
          <a:xfrm>
            <a:off x="317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3" name="$B$2">
            <a:extLst>
              <a:ext uri="{FF2B5EF4-FFF2-40B4-BE49-F238E27FC236}">
                <a16:creationId xmlns:a16="http://schemas.microsoft.com/office/drawing/2014/main" id="{BD96C63C-5B32-48F9-B6B0-272FD7B521A4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4" name="$B$2">
            <a:extLst>
              <a:ext uri="{FF2B5EF4-FFF2-40B4-BE49-F238E27FC236}">
                <a16:creationId xmlns:a16="http://schemas.microsoft.com/office/drawing/2014/main" id="{6653433D-1F17-4CBB-ABC5-1D3001B2835E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5" name="$B$2">
            <a:extLst>
              <a:ext uri="{FF2B5EF4-FFF2-40B4-BE49-F238E27FC236}">
                <a16:creationId xmlns:a16="http://schemas.microsoft.com/office/drawing/2014/main" id="{3D093A51-BD84-4198-ADE3-10A146A12CA4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6" name="$B$2">
            <a:extLst>
              <a:ext uri="{FF2B5EF4-FFF2-40B4-BE49-F238E27FC236}">
                <a16:creationId xmlns:a16="http://schemas.microsoft.com/office/drawing/2014/main" id="{D2C176BF-8CC4-44BA-8A04-37CA6AA1C274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7" name="$B$2">
            <a:extLst>
              <a:ext uri="{FF2B5EF4-FFF2-40B4-BE49-F238E27FC236}">
                <a16:creationId xmlns:a16="http://schemas.microsoft.com/office/drawing/2014/main" id="{71E6300A-CDFC-4161-A416-CF1F5866D964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8" name="$B$2">
            <a:extLst>
              <a:ext uri="{FF2B5EF4-FFF2-40B4-BE49-F238E27FC236}">
                <a16:creationId xmlns:a16="http://schemas.microsoft.com/office/drawing/2014/main" id="{4EBB2601-D407-4516-B7E6-8B129660A2BE}"/>
              </a:ext>
            </a:extLst>
          </xdr:cNvPr>
          <xdr:cNvSpPr/>
        </xdr:nvSpPr>
        <xdr:spPr>
          <a:xfrm>
            <a:off x="406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9" name="$B$2">
            <a:extLst>
              <a:ext uri="{FF2B5EF4-FFF2-40B4-BE49-F238E27FC236}">
                <a16:creationId xmlns:a16="http://schemas.microsoft.com/office/drawing/2014/main" id="{5E24FB85-B7F3-4603-94C2-F53031728201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0" name="$B$2">
            <a:extLst>
              <a:ext uri="{FF2B5EF4-FFF2-40B4-BE49-F238E27FC236}">
                <a16:creationId xmlns:a16="http://schemas.microsoft.com/office/drawing/2014/main" id="{F74858C3-B40D-42CD-9342-E8A242051603}"/>
              </a:ext>
            </a:extLst>
          </xdr:cNvPr>
          <xdr:cNvSpPr/>
        </xdr:nvSpPr>
        <xdr:spPr>
          <a:xfrm>
            <a:off x="457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1" name="$B$2">
            <a:extLst>
              <a:ext uri="{FF2B5EF4-FFF2-40B4-BE49-F238E27FC236}">
                <a16:creationId xmlns:a16="http://schemas.microsoft.com/office/drawing/2014/main" id="{2B7065D5-3339-43EC-96E5-180C7C81009E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2" name="$B$2">
            <a:extLst>
              <a:ext uri="{FF2B5EF4-FFF2-40B4-BE49-F238E27FC236}">
                <a16:creationId xmlns:a16="http://schemas.microsoft.com/office/drawing/2014/main" id="{9F3AD103-F983-474F-B54B-F7DC62015439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3" name="$B$2">
            <a:extLst>
              <a:ext uri="{FF2B5EF4-FFF2-40B4-BE49-F238E27FC236}">
                <a16:creationId xmlns:a16="http://schemas.microsoft.com/office/drawing/2014/main" id="{A7D1E1DB-B6DE-4C67-A726-ED3296A16E8B}"/>
              </a:ext>
            </a:extLst>
          </xdr:cNvPr>
          <xdr:cNvSpPr/>
        </xdr:nvSpPr>
        <xdr:spPr>
          <a:xfrm>
            <a:off x="609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4" name="$B$2">
            <a:extLst>
              <a:ext uri="{FF2B5EF4-FFF2-40B4-BE49-F238E27FC236}">
                <a16:creationId xmlns:a16="http://schemas.microsoft.com/office/drawing/2014/main" id="{B1D06E92-53B9-4E0F-B276-66D603380A7B}"/>
              </a:ext>
            </a:extLst>
          </xdr:cNvPr>
          <xdr:cNvSpPr/>
        </xdr:nvSpPr>
        <xdr:spPr>
          <a:xfrm>
            <a:off x="622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5" name="$B$2">
            <a:extLst>
              <a:ext uri="{FF2B5EF4-FFF2-40B4-BE49-F238E27FC236}">
                <a16:creationId xmlns:a16="http://schemas.microsoft.com/office/drawing/2014/main" id="{99B2848F-AD0E-4768-A8E8-0A27A64DB64D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6" name="$B$2">
            <a:extLst>
              <a:ext uri="{FF2B5EF4-FFF2-40B4-BE49-F238E27FC236}">
                <a16:creationId xmlns:a16="http://schemas.microsoft.com/office/drawing/2014/main" id="{4CA536E8-379C-4173-9535-343D570E50EC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7" name="$B$2">
            <a:extLst>
              <a:ext uri="{FF2B5EF4-FFF2-40B4-BE49-F238E27FC236}">
                <a16:creationId xmlns:a16="http://schemas.microsoft.com/office/drawing/2014/main" id="{529DA755-6EE0-45BB-9B73-2900BDCAB7D1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8" name="$B$2">
            <a:extLst>
              <a:ext uri="{FF2B5EF4-FFF2-40B4-BE49-F238E27FC236}">
                <a16:creationId xmlns:a16="http://schemas.microsoft.com/office/drawing/2014/main" id="{A5581B11-199C-4DED-96B7-652956312115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9" name="$B$2">
            <a:extLst>
              <a:ext uri="{FF2B5EF4-FFF2-40B4-BE49-F238E27FC236}">
                <a16:creationId xmlns:a16="http://schemas.microsoft.com/office/drawing/2014/main" id="{F5CCE0F4-88EC-4D81-B04F-093CE765D80D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0" name="$B$2">
            <a:extLst>
              <a:ext uri="{FF2B5EF4-FFF2-40B4-BE49-F238E27FC236}">
                <a16:creationId xmlns:a16="http://schemas.microsoft.com/office/drawing/2014/main" id="{FCEF8ED8-8BD2-42D6-9E10-68B56384825D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1" name="$B$2">
            <a:extLst>
              <a:ext uri="{FF2B5EF4-FFF2-40B4-BE49-F238E27FC236}">
                <a16:creationId xmlns:a16="http://schemas.microsoft.com/office/drawing/2014/main" id="{B111FDD4-494B-4A4C-8BC0-02C9F6729325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2" name="$B$2">
            <a:extLst>
              <a:ext uri="{FF2B5EF4-FFF2-40B4-BE49-F238E27FC236}">
                <a16:creationId xmlns:a16="http://schemas.microsoft.com/office/drawing/2014/main" id="{8F513E82-1BF5-4EF5-86C2-716AACA57A3B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3" name="$B$2">
            <a:extLst>
              <a:ext uri="{FF2B5EF4-FFF2-40B4-BE49-F238E27FC236}">
                <a16:creationId xmlns:a16="http://schemas.microsoft.com/office/drawing/2014/main" id="{59BD6EF3-E1FF-4A20-8E79-45E5435FE6EA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4" name="$B$2">
            <a:extLst>
              <a:ext uri="{FF2B5EF4-FFF2-40B4-BE49-F238E27FC236}">
                <a16:creationId xmlns:a16="http://schemas.microsoft.com/office/drawing/2014/main" id="{BFC722F6-5412-4DE0-B070-B8A98B4DBBBF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5" name="$B$2">
            <a:extLst>
              <a:ext uri="{FF2B5EF4-FFF2-40B4-BE49-F238E27FC236}">
                <a16:creationId xmlns:a16="http://schemas.microsoft.com/office/drawing/2014/main" id="{87D74FBD-625D-45C7-8F12-E75C297E375F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6" name="$B$2">
            <a:extLst>
              <a:ext uri="{FF2B5EF4-FFF2-40B4-BE49-F238E27FC236}">
                <a16:creationId xmlns:a16="http://schemas.microsoft.com/office/drawing/2014/main" id="{1E853184-B7FC-44C5-A1E7-1B7373F2030C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7" name="$B$2">
            <a:extLst>
              <a:ext uri="{FF2B5EF4-FFF2-40B4-BE49-F238E27FC236}">
                <a16:creationId xmlns:a16="http://schemas.microsoft.com/office/drawing/2014/main" id="{9F3F1A49-1F4D-454F-83E7-E379FE233AA4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8" name="$B$2">
            <a:extLst>
              <a:ext uri="{FF2B5EF4-FFF2-40B4-BE49-F238E27FC236}">
                <a16:creationId xmlns:a16="http://schemas.microsoft.com/office/drawing/2014/main" id="{E63FC80C-78C2-40DD-B329-2DB95657EC23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9" name="$B$2">
            <a:extLst>
              <a:ext uri="{FF2B5EF4-FFF2-40B4-BE49-F238E27FC236}">
                <a16:creationId xmlns:a16="http://schemas.microsoft.com/office/drawing/2014/main" id="{C2247B8E-4F5E-40A0-8D71-88787915AB00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0" name="$B$2">
            <a:extLst>
              <a:ext uri="{FF2B5EF4-FFF2-40B4-BE49-F238E27FC236}">
                <a16:creationId xmlns:a16="http://schemas.microsoft.com/office/drawing/2014/main" id="{E96C0B40-7798-47FE-9676-7134ADEBD6CA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1" name="$B$2">
            <a:extLst>
              <a:ext uri="{FF2B5EF4-FFF2-40B4-BE49-F238E27FC236}">
                <a16:creationId xmlns:a16="http://schemas.microsoft.com/office/drawing/2014/main" id="{B00DFCCA-88E7-440B-8D6A-93D3CE7D1C0A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2" name="$B$2">
            <a:extLst>
              <a:ext uri="{FF2B5EF4-FFF2-40B4-BE49-F238E27FC236}">
                <a16:creationId xmlns:a16="http://schemas.microsoft.com/office/drawing/2014/main" id="{BC94EA8C-532E-456C-8456-EB6760A3659C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3" name="$B$2">
            <a:extLst>
              <a:ext uri="{FF2B5EF4-FFF2-40B4-BE49-F238E27FC236}">
                <a16:creationId xmlns:a16="http://schemas.microsoft.com/office/drawing/2014/main" id="{8FE52E38-A6F6-4BFB-9BAA-1C551398BDA3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4" name="$B$2">
            <a:extLst>
              <a:ext uri="{FF2B5EF4-FFF2-40B4-BE49-F238E27FC236}">
                <a16:creationId xmlns:a16="http://schemas.microsoft.com/office/drawing/2014/main" id="{8E6A8DF6-F904-498D-88EE-D34614114CD3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5" name="$B$2">
            <a:extLst>
              <a:ext uri="{FF2B5EF4-FFF2-40B4-BE49-F238E27FC236}">
                <a16:creationId xmlns:a16="http://schemas.microsoft.com/office/drawing/2014/main" id="{21A0C9A4-6FDF-4459-BE18-E9CBB0383702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6" name="$B$2">
            <a:extLst>
              <a:ext uri="{FF2B5EF4-FFF2-40B4-BE49-F238E27FC236}">
                <a16:creationId xmlns:a16="http://schemas.microsoft.com/office/drawing/2014/main" id="{131652A5-303F-4149-BECD-9544D959888D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7" name="$B$2">
            <a:extLst>
              <a:ext uri="{FF2B5EF4-FFF2-40B4-BE49-F238E27FC236}">
                <a16:creationId xmlns:a16="http://schemas.microsoft.com/office/drawing/2014/main" id="{BD705940-8D65-447B-9424-8478C40435BC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8" name="$B$2">
            <a:extLst>
              <a:ext uri="{FF2B5EF4-FFF2-40B4-BE49-F238E27FC236}">
                <a16:creationId xmlns:a16="http://schemas.microsoft.com/office/drawing/2014/main" id="{41DE8303-8C62-4F0C-9E4F-E479F8DD40E0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9" name="$B$2">
            <a:extLst>
              <a:ext uri="{FF2B5EF4-FFF2-40B4-BE49-F238E27FC236}">
                <a16:creationId xmlns:a16="http://schemas.microsoft.com/office/drawing/2014/main" id="{7F8EC237-7A9A-49A5-9386-73457140797C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0" name="$B$2">
            <a:extLst>
              <a:ext uri="{FF2B5EF4-FFF2-40B4-BE49-F238E27FC236}">
                <a16:creationId xmlns:a16="http://schemas.microsoft.com/office/drawing/2014/main" id="{6E2440D0-BC12-47F3-8E17-A74241A5D107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1" name="$B$2">
            <a:extLst>
              <a:ext uri="{FF2B5EF4-FFF2-40B4-BE49-F238E27FC236}">
                <a16:creationId xmlns:a16="http://schemas.microsoft.com/office/drawing/2014/main" id="{55EA5E87-0FC7-4B42-A867-F5C5AC9988F8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2" name="$B$2">
            <a:extLst>
              <a:ext uri="{FF2B5EF4-FFF2-40B4-BE49-F238E27FC236}">
                <a16:creationId xmlns:a16="http://schemas.microsoft.com/office/drawing/2014/main" id="{133229F0-8129-4348-B7D2-CF5ABBFDB3B6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3" name="$B$2">
            <a:extLst>
              <a:ext uri="{FF2B5EF4-FFF2-40B4-BE49-F238E27FC236}">
                <a16:creationId xmlns:a16="http://schemas.microsoft.com/office/drawing/2014/main" id="{68815187-476C-4DC3-80DC-9FC4951831CE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4" name="$B$2">
            <a:extLst>
              <a:ext uri="{FF2B5EF4-FFF2-40B4-BE49-F238E27FC236}">
                <a16:creationId xmlns:a16="http://schemas.microsoft.com/office/drawing/2014/main" id="{27103895-FFFE-4CB7-A822-B6D85C2BDE75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5" name="$B$2">
            <a:extLst>
              <a:ext uri="{FF2B5EF4-FFF2-40B4-BE49-F238E27FC236}">
                <a16:creationId xmlns:a16="http://schemas.microsoft.com/office/drawing/2014/main" id="{4C4DB114-CD64-431C-B5F9-3EE1AFCA9DAA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6" name="$B$2">
            <a:extLst>
              <a:ext uri="{FF2B5EF4-FFF2-40B4-BE49-F238E27FC236}">
                <a16:creationId xmlns:a16="http://schemas.microsoft.com/office/drawing/2014/main" id="{3DEE9DC0-36AD-41FD-B20C-B3955D021CAB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7" name="$B$2">
            <a:extLst>
              <a:ext uri="{FF2B5EF4-FFF2-40B4-BE49-F238E27FC236}">
                <a16:creationId xmlns:a16="http://schemas.microsoft.com/office/drawing/2014/main" id="{403DF1A4-22DD-4C35-A831-8CDE8A0E1C46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8" name="$B$2">
            <a:extLst>
              <a:ext uri="{FF2B5EF4-FFF2-40B4-BE49-F238E27FC236}">
                <a16:creationId xmlns:a16="http://schemas.microsoft.com/office/drawing/2014/main" id="{994D36BA-48C0-4FB2-B4D1-D581A4A15FC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9" name="$B$2">
            <a:extLst>
              <a:ext uri="{FF2B5EF4-FFF2-40B4-BE49-F238E27FC236}">
                <a16:creationId xmlns:a16="http://schemas.microsoft.com/office/drawing/2014/main" id="{F84D2A6E-FAC5-4FE1-9E58-B70F5EA7DA79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0" name="$B$2">
            <a:extLst>
              <a:ext uri="{FF2B5EF4-FFF2-40B4-BE49-F238E27FC236}">
                <a16:creationId xmlns:a16="http://schemas.microsoft.com/office/drawing/2014/main" id="{B27F0245-F032-4403-89D4-1D26A5A2DE02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1" name="$B$2">
            <a:extLst>
              <a:ext uri="{FF2B5EF4-FFF2-40B4-BE49-F238E27FC236}">
                <a16:creationId xmlns:a16="http://schemas.microsoft.com/office/drawing/2014/main" id="{7847AB0F-E91D-4461-9D95-6DABC328AE94}"/>
              </a:ext>
            </a:extLst>
          </xdr:cNvPr>
          <xdr:cNvSpPr/>
        </xdr:nvSpPr>
        <xdr:spPr>
          <a:xfrm>
            <a:off x="266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2" name="$B$2">
            <a:extLst>
              <a:ext uri="{FF2B5EF4-FFF2-40B4-BE49-F238E27FC236}">
                <a16:creationId xmlns:a16="http://schemas.microsoft.com/office/drawing/2014/main" id="{CCFC69ED-61AE-464F-8A31-B3A146A8A413}"/>
              </a:ext>
            </a:extLst>
          </xdr:cNvPr>
          <xdr:cNvSpPr/>
        </xdr:nvSpPr>
        <xdr:spPr>
          <a:xfrm>
            <a:off x="292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3" name="$B$2">
            <a:extLst>
              <a:ext uri="{FF2B5EF4-FFF2-40B4-BE49-F238E27FC236}">
                <a16:creationId xmlns:a16="http://schemas.microsoft.com/office/drawing/2014/main" id="{46D91A9E-7DCB-4E02-9721-8347F1E3A6DF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4" name="$B$2">
            <a:extLst>
              <a:ext uri="{FF2B5EF4-FFF2-40B4-BE49-F238E27FC236}">
                <a16:creationId xmlns:a16="http://schemas.microsoft.com/office/drawing/2014/main" id="{D90208F6-3A82-4FE7-825C-953A4899D367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5" name="$B$2">
            <a:extLst>
              <a:ext uri="{FF2B5EF4-FFF2-40B4-BE49-F238E27FC236}">
                <a16:creationId xmlns:a16="http://schemas.microsoft.com/office/drawing/2014/main" id="{0D37D53A-369A-4D06-B34D-08C2CF2D581A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6" name="$B$2">
            <a:extLst>
              <a:ext uri="{FF2B5EF4-FFF2-40B4-BE49-F238E27FC236}">
                <a16:creationId xmlns:a16="http://schemas.microsoft.com/office/drawing/2014/main" id="{5BE7B926-27B2-4082-956A-7AE1E8D55EB7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7" name="$B$2">
            <a:extLst>
              <a:ext uri="{FF2B5EF4-FFF2-40B4-BE49-F238E27FC236}">
                <a16:creationId xmlns:a16="http://schemas.microsoft.com/office/drawing/2014/main" id="{C1858946-8C2C-499E-907D-0432C4CF782F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8" name="$B$2">
            <a:extLst>
              <a:ext uri="{FF2B5EF4-FFF2-40B4-BE49-F238E27FC236}">
                <a16:creationId xmlns:a16="http://schemas.microsoft.com/office/drawing/2014/main" id="{FCE83559-998F-4CAE-98E9-CE2436997C0E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9" name="$B$2">
            <a:extLst>
              <a:ext uri="{FF2B5EF4-FFF2-40B4-BE49-F238E27FC236}">
                <a16:creationId xmlns:a16="http://schemas.microsoft.com/office/drawing/2014/main" id="{9894BBDD-A0F0-4A86-BB9A-6DAF2CBD2EC9}"/>
              </a:ext>
            </a:extLst>
          </xdr:cNvPr>
          <xdr:cNvSpPr/>
        </xdr:nvSpPr>
        <xdr:spPr>
          <a:xfrm>
            <a:off x="482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0" name="$B$2">
            <a:extLst>
              <a:ext uri="{FF2B5EF4-FFF2-40B4-BE49-F238E27FC236}">
                <a16:creationId xmlns:a16="http://schemas.microsoft.com/office/drawing/2014/main" id="{8896416E-2E45-4EC4-B386-A1AF92E32B18}"/>
              </a:ext>
            </a:extLst>
          </xdr:cNvPr>
          <xdr:cNvSpPr/>
        </xdr:nvSpPr>
        <xdr:spPr>
          <a:xfrm>
            <a:off x="520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1" name="$B$2">
            <a:extLst>
              <a:ext uri="{FF2B5EF4-FFF2-40B4-BE49-F238E27FC236}">
                <a16:creationId xmlns:a16="http://schemas.microsoft.com/office/drawing/2014/main" id="{DFE2B4C0-C458-4531-9E24-B82CE3BF9660}"/>
              </a:ext>
            </a:extLst>
          </xdr:cNvPr>
          <xdr:cNvSpPr/>
        </xdr:nvSpPr>
        <xdr:spPr>
          <a:xfrm>
            <a:off x="546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2" name="$B$2">
            <a:extLst>
              <a:ext uri="{FF2B5EF4-FFF2-40B4-BE49-F238E27FC236}">
                <a16:creationId xmlns:a16="http://schemas.microsoft.com/office/drawing/2014/main" id="{8923F49E-2498-43BB-AAEC-86EC72774DE0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3" name="$B$2">
            <a:extLst>
              <a:ext uri="{FF2B5EF4-FFF2-40B4-BE49-F238E27FC236}">
                <a16:creationId xmlns:a16="http://schemas.microsoft.com/office/drawing/2014/main" id="{116251AE-A331-4D41-A1B2-3A3FB7298098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4" name="$B$2">
            <a:extLst>
              <a:ext uri="{FF2B5EF4-FFF2-40B4-BE49-F238E27FC236}">
                <a16:creationId xmlns:a16="http://schemas.microsoft.com/office/drawing/2014/main" id="{E06E54F1-68B6-4CE2-8499-945B15D2A445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5" name="$B$2">
            <a:extLst>
              <a:ext uri="{FF2B5EF4-FFF2-40B4-BE49-F238E27FC236}">
                <a16:creationId xmlns:a16="http://schemas.microsoft.com/office/drawing/2014/main" id="{FE486977-E174-4001-AD9E-EB496CAB9B7A}"/>
              </a:ext>
            </a:extLst>
          </xdr:cNvPr>
          <xdr:cNvSpPr/>
        </xdr:nvSpPr>
        <xdr:spPr>
          <a:xfrm>
            <a:off x="698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6" name="$B$2">
            <a:extLst>
              <a:ext uri="{FF2B5EF4-FFF2-40B4-BE49-F238E27FC236}">
                <a16:creationId xmlns:a16="http://schemas.microsoft.com/office/drawing/2014/main" id="{9850D3CD-6470-46D5-82C0-1C5CA7E45D07}"/>
              </a:ext>
            </a:extLst>
          </xdr:cNvPr>
          <xdr:cNvSpPr/>
        </xdr:nvSpPr>
        <xdr:spPr>
          <a:xfrm>
            <a:off x="723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7" name="$B$2">
            <a:extLst>
              <a:ext uri="{FF2B5EF4-FFF2-40B4-BE49-F238E27FC236}">
                <a16:creationId xmlns:a16="http://schemas.microsoft.com/office/drawing/2014/main" id="{137DF34F-3910-42DF-8A9D-2D0413C05415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8" name="$B$2">
            <a:extLst>
              <a:ext uri="{FF2B5EF4-FFF2-40B4-BE49-F238E27FC236}">
                <a16:creationId xmlns:a16="http://schemas.microsoft.com/office/drawing/2014/main" id="{5C01944E-FC3F-4119-BB01-6A0C6CE85FAC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9" name="$B$2">
            <a:extLst>
              <a:ext uri="{FF2B5EF4-FFF2-40B4-BE49-F238E27FC236}">
                <a16:creationId xmlns:a16="http://schemas.microsoft.com/office/drawing/2014/main" id="{088407A6-5F4A-4F28-993C-A2246E339EA9}"/>
              </a:ext>
            </a:extLst>
          </xdr:cNvPr>
          <xdr:cNvSpPr/>
        </xdr:nvSpPr>
        <xdr:spPr>
          <a:xfrm>
            <a:off x="800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0" name="$B$2">
            <a:extLst>
              <a:ext uri="{FF2B5EF4-FFF2-40B4-BE49-F238E27FC236}">
                <a16:creationId xmlns:a16="http://schemas.microsoft.com/office/drawing/2014/main" id="{2585CB36-38A7-460E-BD27-D9134962A807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1" name="$B$2">
            <a:extLst>
              <a:ext uri="{FF2B5EF4-FFF2-40B4-BE49-F238E27FC236}">
                <a16:creationId xmlns:a16="http://schemas.microsoft.com/office/drawing/2014/main" id="{FD89E091-6656-4446-A1F6-FFFBA915F769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2" name="$B$2">
            <a:extLst>
              <a:ext uri="{FF2B5EF4-FFF2-40B4-BE49-F238E27FC236}">
                <a16:creationId xmlns:a16="http://schemas.microsoft.com/office/drawing/2014/main" id="{3BF62A53-7CF8-44CA-9655-B66170DE3A47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3" name="$B$2">
            <a:extLst>
              <a:ext uri="{FF2B5EF4-FFF2-40B4-BE49-F238E27FC236}">
                <a16:creationId xmlns:a16="http://schemas.microsoft.com/office/drawing/2014/main" id="{505840AD-4184-4139-8B5F-6014444C71AA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4" name="$B$2">
            <a:extLst>
              <a:ext uri="{FF2B5EF4-FFF2-40B4-BE49-F238E27FC236}">
                <a16:creationId xmlns:a16="http://schemas.microsoft.com/office/drawing/2014/main" id="{75DBB962-8D38-442F-9FFE-ED602B12F8BA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5" name="$B$2">
            <a:extLst>
              <a:ext uri="{FF2B5EF4-FFF2-40B4-BE49-F238E27FC236}">
                <a16:creationId xmlns:a16="http://schemas.microsoft.com/office/drawing/2014/main" id="{32F2E4EB-4377-4EB3-87AC-A6409CB02A25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6" name="$B$2">
            <a:extLst>
              <a:ext uri="{FF2B5EF4-FFF2-40B4-BE49-F238E27FC236}">
                <a16:creationId xmlns:a16="http://schemas.microsoft.com/office/drawing/2014/main" id="{247A0527-620B-4294-B264-68F99AA802F8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7" name="$B$2">
            <a:extLst>
              <a:ext uri="{FF2B5EF4-FFF2-40B4-BE49-F238E27FC236}">
                <a16:creationId xmlns:a16="http://schemas.microsoft.com/office/drawing/2014/main" id="{32791EC4-D857-4262-8E25-286A3CEA5FE2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8" name="$B$2">
            <a:extLst>
              <a:ext uri="{FF2B5EF4-FFF2-40B4-BE49-F238E27FC236}">
                <a16:creationId xmlns:a16="http://schemas.microsoft.com/office/drawing/2014/main" id="{6378B856-B99E-4044-9E76-D12A70585AF2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9" name="$B$2">
            <a:extLst>
              <a:ext uri="{FF2B5EF4-FFF2-40B4-BE49-F238E27FC236}">
                <a16:creationId xmlns:a16="http://schemas.microsoft.com/office/drawing/2014/main" id="{01D05F23-4051-4084-B9C7-E4D996D0B611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0" name="$B$2">
            <a:extLst>
              <a:ext uri="{FF2B5EF4-FFF2-40B4-BE49-F238E27FC236}">
                <a16:creationId xmlns:a16="http://schemas.microsoft.com/office/drawing/2014/main" id="{A2BDCCD7-C139-4096-9418-56C52E2B83D5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1" name="$B$2">
            <a:extLst>
              <a:ext uri="{FF2B5EF4-FFF2-40B4-BE49-F238E27FC236}">
                <a16:creationId xmlns:a16="http://schemas.microsoft.com/office/drawing/2014/main" id="{EF8C1B8D-75B1-47FA-912C-D79E661D4960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2" name="$B$2">
            <a:extLst>
              <a:ext uri="{FF2B5EF4-FFF2-40B4-BE49-F238E27FC236}">
                <a16:creationId xmlns:a16="http://schemas.microsoft.com/office/drawing/2014/main" id="{93A74B2B-A106-482C-8448-30F0DC4E7167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3" name="$B$2">
            <a:extLst>
              <a:ext uri="{FF2B5EF4-FFF2-40B4-BE49-F238E27FC236}">
                <a16:creationId xmlns:a16="http://schemas.microsoft.com/office/drawing/2014/main" id="{1B2D7764-2ADB-4A3A-8C2D-76A7D06D29F9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4" name="$B$2">
            <a:extLst>
              <a:ext uri="{FF2B5EF4-FFF2-40B4-BE49-F238E27FC236}">
                <a16:creationId xmlns:a16="http://schemas.microsoft.com/office/drawing/2014/main" id="{C24CB9FF-46BB-42A9-BE14-AC1740D8BD7B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5" name="$B$2">
            <a:extLst>
              <a:ext uri="{FF2B5EF4-FFF2-40B4-BE49-F238E27FC236}">
                <a16:creationId xmlns:a16="http://schemas.microsoft.com/office/drawing/2014/main" id="{A29AAFFC-778C-49ED-881A-BAC64D0D6A57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6" name="$B$2">
            <a:extLst>
              <a:ext uri="{FF2B5EF4-FFF2-40B4-BE49-F238E27FC236}">
                <a16:creationId xmlns:a16="http://schemas.microsoft.com/office/drawing/2014/main" id="{383EADB0-F751-46D4-8CA3-1E0DB78B6A6A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7" name="$B$2">
            <a:extLst>
              <a:ext uri="{FF2B5EF4-FFF2-40B4-BE49-F238E27FC236}">
                <a16:creationId xmlns:a16="http://schemas.microsoft.com/office/drawing/2014/main" id="{D762AA47-8A7A-48AC-B40A-8DF6EEF4D631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8" name="$B$2">
            <a:extLst>
              <a:ext uri="{FF2B5EF4-FFF2-40B4-BE49-F238E27FC236}">
                <a16:creationId xmlns:a16="http://schemas.microsoft.com/office/drawing/2014/main" id="{F6A9A9F6-622F-47C4-8CA2-F20F7B07C30A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9" name="$B$2">
            <a:extLst>
              <a:ext uri="{FF2B5EF4-FFF2-40B4-BE49-F238E27FC236}">
                <a16:creationId xmlns:a16="http://schemas.microsoft.com/office/drawing/2014/main" id="{2044B54C-FE81-47C0-918A-B96CE005CAFB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0" name="$B$2">
            <a:extLst>
              <a:ext uri="{FF2B5EF4-FFF2-40B4-BE49-F238E27FC236}">
                <a16:creationId xmlns:a16="http://schemas.microsoft.com/office/drawing/2014/main" id="{C46A65C2-3529-42E3-9BE2-E52E76D1A454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1" name="$B$2">
            <a:extLst>
              <a:ext uri="{FF2B5EF4-FFF2-40B4-BE49-F238E27FC236}">
                <a16:creationId xmlns:a16="http://schemas.microsoft.com/office/drawing/2014/main" id="{044D2231-B248-4E4C-A2F1-20752AD5463F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2" name="$B$2">
            <a:extLst>
              <a:ext uri="{FF2B5EF4-FFF2-40B4-BE49-F238E27FC236}">
                <a16:creationId xmlns:a16="http://schemas.microsoft.com/office/drawing/2014/main" id="{A97A84CB-8C7C-4F7E-987B-511834714007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3" name="$B$2">
            <a:extLst>
              <a:ext uri="{FF2B5EF4-FFF2-40B4-BE49-F238E27FC236}">
                <a16:creationId xmlns:a16="http://schemas.microsoft.com/office/drawing/2014/main" id="{37FEEFA7-B6A9-4795-9606-99ABACB46B05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4" name="$B$2">
            <a:extLst>
              <a:ext uri="{FF2B5EF4-FFF2-40B4-BE49-F238E27FC236}">
                <a16:creationId xmlns:a16="http://schemas.microsoft.com/office/drawing/2014/main" id="{B63B110F-B546-49EE-A3A8-84DEE79A61E1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5" name="$B$2">
            <a:extLst>
              <a:ext uri="{FF2B5EF4-FFF2-40B4-BE49-F238E27FC236}">
                <a16:creationId xmlns:a16="http://schemas.microsoft.com/office/drawing/2014/main" id="{DE8E3D53-55EB-45A0-9FCA-0DA762978B74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6" name="$B$2">
            <a:extLst>
              <a:ext uri="{FF2B5EF4-FFF2-40B4-BE49-F238E27FC236}">
                <a16:creationId xmlns:a16="http://schemas.microsoft.com/office/drawing/2014/main" id="{E8345D87-3AF8-49B6-8A08-DA9FADFD4B75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7" name="$B$2">
            <a:extLst>
              <a:ext uri="{FF2B5EF4-FFF2-40B4-BE49-F238E27FC236}">
                <a16:creationId xmlns:a16="http://schemas.microsoft.com/office/drawing/2014/main" id="{8C661444-E6EE-4306-ADE3-2385E3F8D947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8" name="$B$2">
            <a:extLst>
              <a:ext uri="{FF2B5EF4-FFF2-40B4-BE49-F238E27FC236}">
                <a16:creationId xmlns:a16="http://schemas.microsoft.com/office/drawing/2014/main" id="{118FD884-C592-4901-929F-CB3C80A95D15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9" name="$B$2">
            <a:extLst>
              <a:ext uri="{FF2B5EF4-FFF2-40B4-BE49-F238E27FC236}">
                <a16:creationId xmlns:a16="http://schemas.microsoft.com/office/drawing/2014/main" id="{2F63A47A-72D7-4098-8AF1-5BB1BA21B3D8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0" name="$B$2">
            <a:extLst>
              <a:ext uri="{FF2B5EF4-FFF2-40B4-BE49-F238E27FC236}">
                <a16:creationId xmlns:a16="http://schemas.microsoft.com/office/drawing/2014/main" id="{6CFD777B-CBE0-4C1A-9E95-77BE8210B494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1" name="$B$2">
            <a:extLst>
              <a:ext uri="{FF2B5EF4-FFF2-40B4-BE49-F238E27FC236}">
                <a16:creationId xmlns:a16="http://schemas.microsoft.com/office/drawing/2014/main" id="{F1B88245-4AA9-41B3-966C-B44FB1465DC4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2" name="$B$2">
            <a:extLst>
              <a:ext uri="{FF2B5EF4-FFF2-40B4-BE49-F238E27FC236}">
                <a16:creationId xmlns:a16="http://schemas.microsoft.com/office/drawing/2014/main" id="{202846CE-BC94-4CD4-BE57-A4B2DFA57908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3" name="$B$2">
            <a:extLst>
              <a:ext uri="{FF2B5EF4-FFF2-40B4-BE49-F238E27FC236}">
                <a16:creationId xmlns:a16="http://schemas.microsoft.com/office/drawing/2014/main" id="{41330BE5-71BD-4A29-B4F7-F1937EF456F8}"/>
              </a:ext>
            </a:extLst>
          </xdr:cNvPr>
          <xdr:cNvSpPr/>
        </xdr:nvSpPr>
        <xdr:spPr>
          <a:xfrm>
            <a:off x="520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4" name="$B$2">
            <a:extLst>
              <a:ext uri="{FF2B5EF4-FFF2-40B4-BE49-F238E27FC236}">
                <a16:creationId xmlns:a16="http://schemas.microsoft.com/office/drawing/2014/main" id="{2770FAE8-A194-47D9-BFBF-AA816D39BC6F}"/>
              </a:ext>
            </a:extLst>
          </xdr:cNvPr>
          <xdr:cNvSpPr/>
        </xdr:nvSpPr>
        <xdr:spPr>
          <a:xfrm>
            <a:off x="533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5" name="$B$2">
            <a:extLst>
              <a:ext uri="{FF2B5EF4-FFF2-40B4-BE49-F238E27FC236}">
                <a16:creationId xmlns:a16="http://schemas.microsoft.com/office/drawing/2014/main" id="{FF9FC678-EBF3-4E97-84BD-CDCF4460AFFC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6" name="$B$2">
            <a:extLst>
              <a:ext uri="{FF2B5EF4-FFF2-40B4-BE49-F238E27FC236}">
                <a16:creationId xmlns:a16="http://schemas.microsoft.com/office/drawing/2014/main" id="{4470176C-8C93-4065-8AE1-DCB2D2117376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7" name="$B$2">
            <a:extLst>
              <a:ext uri="{FF2B5EF4-FFF2-40B4-BE49-F238E27FC236}">
                <a16:creationId xmlns:a16="http://schemas.microsoft.com/office/drawing/2014/main" id="{1FAA154D-9E80-4395-B461-997BD97E6324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8" name="$B$2">
            <a:extLst>
              <a:ext uri="{FF2B5EF4-FFF2-40B4-BE49-F238E27FC236}">
                <a16:creationId xmlns:a16="http://schemas.microsoft.com/office/drawing/2014/main" id="{21E4EF46-FE35-4B8B-A65D-420BC43E2A1E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9" name="$B$2">
            <a:extLst>
              <a:ext uri="{FF2B5EF4-FFF2-40B4-BE49-F238E27FC236}">
                <a16:creationId xmlns:a16="http://schemas.microsoft.com/office/drawing/2014/main" id="{2A7980E4-0F6D-4BD6-A0D5-49C34CD4B267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0" name="$B$2">
            <a:extLst>
              <a:ext uri="{FF2B5EF4-FFF2-40B4-BE49-F238E27FC236}">
                <a16:creationId xmlns:a16="http://schemas.microsoft.com/office/drawing/2014/main" id="{173507FE-BC5C-4260-98E6-E2BF73C34365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1" name="$B$2">
            <a:extLst>
              <a:ext uri="{FF2B5EF4-FFF2-40B4-BE49-F238E27FC236}">
                <a16:creationId xmlns:a16="http://schemas.microsoft.com/office/drawing/2014/main" id="{4F6EC441-844A-40FF-8541-F1844D2C2382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2" name="$B$2">
            <a:extLst>
              <a:ext uri="{FF2B5EF4-FFF2-40B4-BE49-F238E27FC236}">
                <a16:creationId xmlns:a16="http://schemas.microsoft.com/office/drawing/2014/main" id="{AE8649BB-16C0-49DA-AB21-B96D56CC293F}"/>
              </a:ext>
            </a:extLst>
          </xdr:cNvPr>
          <xdr:cNvSpPr/>
        </xdr:nvSpPr>
        <xdr:spPr>
          <a:xfrm>
            <a:off x="698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3" name="$B$2">
            <a:extLst>
              <a:ext uri="{FF2B5EF4-FFF2-40B4-BE49-F238E27FC236}">
                <a16:creationId xmlns:a16="http://schemas.microsoft.com/office/drawing/2014/main" id="{FCA87DEE-E94A-4D7A-A84B-4E817108B052}"/>
              </a:ext>
            </a:extLst>
          </xdr:cNvPr>
          <xdr:cNvSpPr/>
        </xdr:nvSpPr>
        <xdr:spPr>
          <a:xfrm>
            <a:off x="723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4" name="$B$2">
            <a:extLst>
              <a:ext uri="{FF2B5EF4-FFF2-40B4-BE49-F238E27FC236}">
                <a16:creationId xmlns:a16="http://schemas.microsoft.com/office/drawing/2014/main" id="{383B6B3C-A552-483B-839D-8865A092D05C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5" name="$B$2">
            <a:extLst>
              <a:ext uri="{FF2B5EF4-FFF2-40B4-BE49-F238E27FC236}">
                <a16:creationId xmlns:a16="http://schemas.microsoft.com/office/drawing/2014/main" id="{F7C18B65-192A-4FB4-982E-7B40F1CD3748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6" name="$B$2">
            <a:extLst>
              <a:ext uri="{FF2B5EF4-FFF2-40B4-BE49-F238E27FC236}">
                <a16:creationId xmlns:a16="http://schemas.microsoft.com/office/drawing/2014/main" id="{57ADEA76-4869-4380-8B22-CF645327494E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7" name="$B$2">
            <a:extLst>
              <a:ext uri="{FF2B5EF4-FFF2-40B4-BE49-F238E27FC236}">
                <a16:creationId xmlns:a16="http://schemas.microsoft.com/office/drawing/2014/main" id="{6FB5DCFF-121E-4465-86DE-BFFC11B1D4CE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8" name="$B$2">
            <a:extLst>
              <a:ext uri="{FF2B5EF4-FFF2-40B4-BE49-F238E27FC236}">
                <a16:creationId xmlns:a16="http://schemas.microsoft.com/office/drawing/2014/main" id="{E7C0EFA8-56A0-4937-BA9D-88F851B8F6A7}"/>
              </a:ext>
            </a:extLst>
          </xdr:cNvPr>
          <xdr:cNvSpPr/>
        </xdr:nvSpPr>
        <xdr:spPr>
          <a:xfrm>
            <a:off x="800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9" name="$B$2">
            <a:extLst>
              <a:ext uri="{FF2B5EF4-FFF2-40B4-BE49-F238E27FC236}">
                <a16:creationId xmlns:a16="http://schemas.microsoft.com/office/drawing/2014/main" id="{D34E2EEE-0E13-45CD-AC5D-C07B389B5070}"/>
              </a:ext>
            </a:extLst>
          </xdr:cNvPr>
          <xdr:cNvSpPr/>
        </xdr:nvSpPr>
        <xdr:spPr>
          <a:xfrm>
            <a:off x="825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0" name="$B$2">
            <a:extLst>
              <a:ext uri="{FF2B5EF4-FFF2-40B4-BE49-F238E27FC236}">
                <a16:creationId xmlns:a16="http://schemas.microsoft.com/office/drawing/2014/main" id="{82CB7BFA-A0F6-4BFC-808A-E4F406A238E2}"/>
              </a:ext>
            </a:extLst>
          </xdr:cNvPr>
          <xdr:cNvSpPr/>
        </xdr:nvSpPr>
        <xdr:spPr>
          <a:xfrm>
            <a:off x="838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1" name="$B$2">
            <a:extLst>
              <a:ext uri="{FF2B5EF4-FFF2-40B4-BE49-F238E27FC236}">
                <a16:creationId xmlns:a16="http://schemas.microsoft.com/office/drawing/2014/main" id="{A12B33C2-D717-43A1-84FB-5A219A2433AB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2" name="$B$2">
            <a:extLst>
              <a:ext uri="{FF2B5EF4-FFF2-40B4-BE49-F238E27FC236}">
                <a16:creationId xmlns:a16="http://schemas.microsoft.com/office/drawing/2014/main" id="{95D2B62F-5A1C-49AA-B2F7-7266383A0997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3" name="$B$2">
            <a:extLst>
              <a:ext uri="{FF2B5EF4-FFF2-40B4-BE49-F238E27FC236}">
                <a16:creationId xmlns:a16="http://schemas.microsoft.com/office/drawing/2014/main" id="{F441A391-80A9-40A9-ADC6-EF9BC3143434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4" name="$B$2">
            <a:extLst>
              <a:ext uri="{FF2B5EF4-FFF2-40B4-BE49-F238E27FC236}">
                <a16:creationId xmlns:a16="http://schemas.microsoft.com/office/drawing/2014/main" id="{F4698EF9-DA3A-443A-A9D2-AF5FDCFF39CC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5" name="$B$2">
            <a:extLst>
              <a:ext uri="{FF2B5EF4-FFF2-40B4-BE49-F238E27FC236}">
                <a16:creationId xmlns:a16="http://schemas.microsoft.com/office/drawing/2014/main" id="{D9BE7D69-01A2-4944-B04B-0037C945BC98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6" name="$B$2">
            <a:extLst>
              <a:ext uri="{FF2B5EF4-FFF2-40B4-BE49-F238E27FC236}">
                <a16:creationId xmlns:a16="http://schemas.microsoft.com/office/drawing/2014/main" id="{265C1BDA-FB07-4A78-BBF6-3D1E4AF90BEB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7" name="$B$2">
            <a:extLst>
              <a:ext uri="{FF2B5EF4-FFF2-40B4-BE49-F238E27FC236}">
                <a16:creationId xmlns:a16="http://schemas.microsoft.com/office/drawing/2014/main" id="{2EF396DC-B2E8-43A3-BC12-C4F746D44656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8" name="$B$2">
            <a:extLst>
              <a:ext uri="{FF2B5EF4-FFF2-40B4-BE49-F238E27FC236}">
                <a16:creationId xmlns:a16="http://schemas.microsoft.com/office/drawing/2014/main" id="{B03F98B8-C0A8-4497-BEC8-1E46DF68BDE1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9" name="$B$2">
            <a:extLst>
              <a:ext uri="{FF2B5EF4-FFF2-40B4-BE49-F238E27FC236}">
                <a16:creationId xmlns:a16="http://schemas.microsoft.com/office/drawing/2014/main" id="{7320FF1C-E292-438D-BED7-9BFA6487D6D1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0" name="$B$2">
            <a:extLst>
              <a:ext uri="{FF2B5EF4-FFF2-40B4-BE49-F238E27FC236}">
                <a16:creationId xmlns:a16="http://schemas.microsoft.com/office/drawing/2014/main" id="{09B9CD3A-A6BC-4D64-9BF2-1B0C9ADC35FB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1" name="$B$2">
            <a:extLst>
              <a:ext uri="{FF2B5EF4-FFF2-40B4-BE49-F238E27FC236}">
                <a16:creationId xmlns:a16="http://schemas.microsoft.com/office/drawing/2014/main" id="{2D1684CF-CBF7-4584-862D-B46298EFA18F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2" name="$B$2">
            <a:extLst>
              <a:ext uri="{FF2B5EF4-FFF2-40B4-BE49-F238E27FC236}">
                <a16:creationId xmlns:a16="http://schemas.microsoft.com/office/drawing/2014/main" id="{1BBE3909-CF1B-4992-85F5-DEF005281728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3" name="$B$2">
            <a:extLst>
              <a:ext uri="{FF2B5EF4-FFF2-40B4-BE49-F238E27FC236}">
                <a16:creationId xmlns:a16="http://schemas.microsoft.com/office/drawing/2014/main" id="{6507908D-2DE3-4015-9E0A-0957B95C2CA8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4" name="$B$2">
            <a:extLst>
              <a:ext uri="{FF2B5EF4-FFF2-40B4-BE49-F238E27FC236}">
                <a16:creationId xmlns:a16="http://schemas.microsoft.com/office/drawing/2014/main" id="{99F76264-EFF2-4A85-8B8E-596EFCB1613B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5" name="$B$2">
            <a:extLst>
              <a:ext uri="{FF2B5EF4-FFF2-40B4-BE49-F238E27FC236}">
                <a16:creationId xmlns:a16="http://schemas.microsoft.com/office/drawing/2014/main" id="{EAE44EB6-43CA-431F-8AA2-5A60E5B3A61A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6" name="$B$2">
            <a:extLst>
              <a:ext uri="{FF2B5EF4-FFF2-40B4-BE49-F238E27FC236}">
                <a16:creationId xmlns:a16="http://schemas.microsoft.com/office/drawing/2014/main" id="{7B1BD140-BB46-44AA-BDC2-EB1CBA9741EA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7" name="$B$2">
            <a:extLst>
              <a:ext uri="{FF2B5EF4-FFF2-40B4-BE49-F238E27FC236}">
                <a16:creationId xmlns:a16="http://schemas.microsoft.com/office/drawing/2014/main" id="{3EBDAA91-BE49-488E-9974-B96AAB201D65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8" name="$B$2">
            <a:extLst>
              <a:ext uri="{FF2B5EF4-FFF2-40B4-BE49-F238E27FC236}">
                <a16:creationId xmlns:a16="http://schemas.microsoft.com/office/drawing/2014/main" id="{23A23341-16FD-4691-A9B5-3B350D3E79E5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9" name="$B$2">
            <a:extLst>
              <a:ext uri="{FF2B5EF4-FFF2-40B4-BE49-F238E27FC236}">
                <a16:creationId xmlns:a16="http://schemas.microsoft.com/office/drawing/2014/main" id="{350888FB-B8AB-4342-943B-D342F7299E7B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0" name="$B$2">
            <a:extLst>
              <a:ext uri="{FF2B5EF4-FFF2-40B4-BE49-F238E27FC236}">
                <a16:creationId xmlns:a16="http://schemas.microsoft.com/office/drawing/2014/main" id="{EFF0096E-5890-4824-8975-65C0A72B6C78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1" name="$B$2">
            <a:extLst>
              <a:ext uri="{FF2B5EF4-FFF2-40B4-BE49-F238E27FC236}">
                <a16:creationId xmlns:a16="http://schemas.microsoft.com/office/drawing/2014/main" id="{CFFD1977-9A38-4A55-A9DA-68D79E513D61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2" name="$B$2">
            <a:extLst>
              <a:ext uri="{FF2B5EF4-FFF2-40B4-BE49-F238E27FC236}">
                <a16:creationId xmlns:a16="http://schemas.microsoft.com/office/drawing/2014/main" id="{8F03A6EB-6232-4AB7-AA15-C927342A2CC4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3" name="$B$2">
            <a:extLst>
              <a:ext uri="{FF2B5EF4-FFF2-40B4-BE49-F238E27FC236}">
                <a16:creationId xmlns:a16="http://schemas.microsoft.com/office/drawing/2014/main" id="{BA0E87BF-66B5-4BEA-BD67-F71703531400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4" name="$B$2">
            <a:extLst>
              <a:ext uri="{FF2B5EF4-FFF2-40B4-BE49-F238E27FC236}">
                <a16:creationId xmlns:a16="http://schemas.microsoft.com/office/drawing/2014/main" id="{6EFDD343-6DFC-40BE-87C2-C225B2969796}"/>
              </a:ext>
            </a:extLst>
          </xdr:cNvPr>
          <xdr:cNvSpPr/>
        </xdr:nvSpPr>
        <xdr:spPr>
          <a:xfrm>
            <a:off x="254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5" name="$B$2">
            <a:extLst>
              <a:ext uri="{FF2B5EF4-FFF2-40B4-BE49-F238E27FC236}">
                <a16:creationId xmlns:a16="http://schemas.microsoft.com/office/drawing/2014/main" id="{45ADB629-BA14-4BAE-AD8E-02B7D1A1C32C}"/>
              </a:ext>
            </a:extLst>
          </xdr:cNvPr>
          <xdr:cNvSpPr/>
        </xdr:nvSpPr>
        <xdr:spPr>
          <a:xfrm>
            <a:off x="292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6" name="$B$2">
            <a:extLst>
              <a:ext uri="{FF2B5EF4-FFF2-40B4-BE49-F238E27FC236}">
                <a16:creationId xmlns:a16="http://schemas.microsoft.com/office/drawing/2014/main" id="{37053382-A35E-4081-9D43-C9D08D01520B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7" name="$B$2">
            <a:extLst>
              <a:ext uri="{FF2B5EF4-FFF2-40B4-BE49-F238E27FC236}">
                <a16:creationId xmlns:a16="http://schemas.microsoft.com/office/drawing/2014/main" id="{E75F4407-EBD2-4FBB-8ABA-744502E47E70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8" name="$B$2">
            <a:extLst>
              <a:ext uri="{FF2B5EF4-FFF2-40B4-BE49-F238E27FC236}">
                <a16:creationId xmlns:a16="http://schemas.microsoft.com/office/drawing/2014/main" id="{5E196AA3-4833-46D3-B835-52A11D960FAE}"/>
              </a:ext>
            </a:extLst>
          </xdr:cNvPr>
          <xdr:cNvSpPr/>
        </xdr:nvSpPr>
        <xdr:spPr>
          <a:xfrm>
            <a:off x="355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9" name="$B$2">
            <a:extLst>
              <a:ext uri="{FF2B5EF4-FFF2-40B4-BE49-F238E27FC236}">
                <a16:creationId xmlns:a16="http://schemas.microsoft.com/office/drawing/2014/main" id="{C7C1BF0C-0003-448D-B6F6-4AB05F1A9B86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0" name="$B$2">
            <a:extLst>
              <a:ext uri="{FF2B5EF4-FFF2-40B4-BE49-F238E27FC236}">
                <a16:creationId xmlns:a16="http://schemas.microsoft.com/office/drawing/2014/main" id="{466C7500-FBA6-4025-884E-7FADC6E4DFC3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1" name="$B$2">
            <a:extLst>
              <a:ext uri="{FF2B5EF4-FFF2-40B4-BE49-F238E27FC236}">
                <a16:creationId xmlns:a16="http://schemas.microsoft.com/office/drawing/2014/main" id="{48AECF93-33AF-4636-A899-EB7836F665F0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2" name="$B$2">
            <a:extLst>
              <a:ext uri="{FF2B5EF4-FFF2-40B4-BE49-F238E27FC236}">
                <a16:creationId xmlns:a16="http://schemas.microsoft.com/office/drawing/2014/main" id="{D53EB286-7BED-432E-9597-8932DE7CB7A7}"/>
              </a:ext>
            </a:extLst>
          </xdr:cNvPr>
          <xdr:cNvSpPr/>
        </xdr:nvSpPr>
        <xdr:spPr>
          <a:xfrm>
            <a:off x="457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3" name="$B$2">
            <a:extLst>
              <a:ext uri="{FF2B5EF4-FFF2-40B4-BE49-F238E27FC236}">
                <a16:creationId xmlns:a16="http://schemas.microsoft.com/office/drawing/2014/main" id="{A28398EA-E0FC-4BB1-9BE7-DE45140EE4A3}"/>
              </a:ext>
            </a:extLst>
          </xdr:cNvPr>
          <xdr:cNvSpPr/>
        </xdr:nvSpPr>
        <xdr:spPr>
          <a:xfrm>
            <a:off x="469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4" name="$B$2">
            <a:extLst>
              <a:ext uri="{FF2B5EF4-FFF2-40B4-BE49-F238E27FC236}">
                <a16:creationId xmlns:a16="http://schemas.microsoft.com/office/drawing/2014/main" id="{35E52D33-6108-4D4D-BB18-977A25D0E82E}"/>
              </a:ext>
            </a:extLst>
          </xdr:cNvPr>
          <xdr:cNvSpPr/>
        </xdr:nvSpPr>
        <xdr:spPr>
          <a:xfrm>
            <a:off x="482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5" name="$B$2">
            <a:extLst>
              <a:ext uri="{FF2B5EF4-FFF2-40B4-BE49-F238E27FC236}">
                <a16:creationId xmlns:a16="http://schemas.microsoft.com/office/drawing/2014/main" id="{03A69FA6-5A41-43A1-B8E4-FF97FB8D9BE8}"/>
              </a:ext>
            </a:extLst>
          </xdr:cNvPr>
          <xdr:cNvSpPr/>
        </xdr:nvSpPr>
        <xdr:spPr>
          <a:xfrm>
            <a:off x="508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6" name="$B$2">
            <a:extLst>
              <a:ext uri="{FF2B5EF4-FFF2-40B4-BE49-F238E27FC236}">
                <a16:creationId xmlns:a16="http://schemas.microsoft.com/office/drawing/2014/main" id="{9E1003BC-FA32-4BC0-8219-27767C27123F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7" name="$B$2">
            <a:extLst>
              <a:ext uri="{FF2B5EF4-FFF2-40B4-BE49-F238E27FC236}">
                <a16:creationId xmlns:a16="http://schemas.microsoft.com/office/drawing/2014/main" id="{3F9E6DBE-4B78-4135-9473-6C9682B85862}"/>
              </a:ext>
            </a:extLst>
          </xdr:cNvPr>
          <xdr:cNvSpPr/>
        </xdr:nvSpPr>
        <xdr:spPr>
          <a:xfrm>
            <a:off x="533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8" name="$B$2">
            <a:extLst>
              <a:ext uri="{FF2B5EF4-FFF2-40B4-BE49-F238E27FC236}">
                <a16:creationId xmlns:a16="http://schemas.microsoft.com/office/drawing/2014/main" id="{9F1C2427-2384-4E1E-902D-EBC3B1EBC2FB}"/>
              </a:ext>
            </a:extLst>
          </xdr:cNvPr>
          <xdr:cNvSpPr/>
        </xdr:nvSpPr>
        <xdr:spPr>
          <a:xfrm>
            <a:off x="558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9" name="$B$2">
            <a:extLst>
              <a:ext uri="{FF2B5EF4-FFF2-40B4-BE49-F238E27FC236}">
                <a16:creationId xmlns:a16="http://schemas.microsoft.com/office/drawing/2014/main" id="{C1F11E66-B403-43AC-80E1-F4990ABE1753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0" name="$B$2">
            <a:extLst>
              <a:ext uri="{FF2B5EF4-FFF2-40B4-BE49-F238E27FC236}">
                <a16:creationId xmlns:a16="http://schemas.microsoft.com/office/drawing/2014/main" id="{221FE3A0-BD8D-4BB2-88B0-DB4234F7A111}"/>
              </a:ext>
            </a:extLst>
          </xdr:cNvPr>
          <xdr:cNvSpPr/>
        </xdr:nvSpPr>
        <xdr:spPr>
          <a:xfrm>
            <a:off x="596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1" name="$B$2">
            <a:extLst>
              <a:ext uri="{FF2B5EF4-FFF2-40B4-BE49-F238E27FC236}">
                <a16:creationId xmlns:a16="http://schemas.microsoft.com/office/drawing/2014/main" id="{36F292C5-985A-44F2-8022-103F1EE616CD}"/>
              </a:ext>
            </a:extLst>
          </xdr:cNvPr>
          <xdr:cNvSpPr/>
        </xdr:nvSpPr>
        <xdr:spPr>
          <a:xfrm>
            <a:off x="609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2" name="$B$2">
            <a:extLst>
              <a:ext uri="{FF2B5EF4-FFF2-40B4-BE49-F238E27FC236}">
                <a16:creationId xmlns:a16="http://schemas.microsoft.com/office/drawing/2014/main" id="{7DDE2949-6E52-418C-B951-97EB70A788CF}"/>
              </a:ext>
            </a:extLst>
          </xdr:cNvPr>
          <xdr:cNvSpPr/>
        </xdr:nvSpPr>
        <xdr:spPr>
          <a:xfrm>
            <a:off x="622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3" name="$B$2">
            <a:extLst>
              <a:ext uri="{FF2B5EF4-FFF2-40B4-BE49-F238E27FC236}">
                <a16:creationId xmlns:a16="http://schemas.microsoft.com/office/drawing/2014/main" id="{646820EE-332B-4100-99ED-966345E5A2E1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4" name="$B$2">
            <a:extLst>
              <a:ext uri="{FF2B5EF4-FFF2-40B4-BE49-F238E27FC236}">
                <a16:creationId xmlns:a16="http://schemas.microsoft.com/office/drawing/2014/main" id="{E1E15C2F-6D4B-4CCE-8366-9E5BD9EA6B71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5" name="$B$2">
            <a:extLst>
              <a:ext uri="{FF2B5EF4-FFF2-40B4-BE49-F238E27FC236}">
                <a16:creationId xmlns:a16="http://schemas.microsoft.com/office/drawing/2014/main" id="{F8A39E40-942E-4778-AE1C-CCA8313EBA99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6" name="$B$2">
            <a:extLst>
              <a:ext uri="{FF2B5EF4-FFF2-40B4-BE49-F238E27FC236}">
                <a16:creationId xmlns:a16="http://schemas.microsoft.com/office/drawing/2014/main" id="{A69AF8C5-8732-4F0D-BBD7-E8B9035BA511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7" name="$B$2">
            <a:extLst>
              <a:ext uri="{FF2B5EF4-FFF2-40B4-BE49-F238E27FC236}">
                <a16:creationId xmlns:a16="http://schemas.microsoft.com/office/drawing/2014/main" id="{40D46C29-3D70-40BB-82EF-71219DCD351F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8" name="$B$2">
            <a:extLst>
              <a:ext uri="{FF2B5EF4-FFF2-40B4-BE49-F238E27FC236}">
                <a16:creationId xmlns:a16="http://schemas.microsoft.com/office/drawing/2014/main" id="{8993477E-9915-4400-892E-DA6532760CD5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9" name="$B$2">
            <a:extLst>
              <a:ext uri="{FF2B5EF4-FFF2-40B4-BE49-F238E27FC236}">
                <a16:creationId xmlns:a16="http://schemas.microsoft.com/office/drawing/2014/main" id="{7995EC51-E1AB-480A-A53C-30F0088EBD45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0" name="$B$2">
            <a:extLst>
              <a:ext uri="{FF2B5EF4-FFF2-40B4-BE49-F238E27FC236}">
                <a16:creationId xmlns:a16="http://schemas.microsoft.com/office/drawing/2014/main" id="{C37FB777-F4F5-409C-9B3E-E1C4ED40CE18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1" name="$B$2">
            <a:extLst>
              <a:ext uri="{FF2B5EF4-FFF2-40B4-BE49-F238E27FC236}">
                <a16:creationId xmlns:a16="http://schemas.microsoft.com/office/drawing/2014/main" id="{EA59E047-5159-4AE7-B2FB-397DA1F41182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2" name="$B$2">
            <a:extLst>
              <a:ext uri="{FF2B5EF4-FFF2-40B4-BE49-F238E27FC236}">
                <a16:creationId xmlns:a16="http://schemas.microsoft.com/office/drawing/2014/main" id="{7CE7597F-F6D1-4CA5-A8E4-418B68E2D8D1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3" name="$B$2">
            <a:extLst>
              <a:ext uri="{FF2B5EF4-FFF2-40B4-BE49-F238E27FC236}">
                <a16:creationId xmlns:a16="http://schemas.microsoft.com/office/drawing/2014/main" id="{9FDDAD50-A88B-4255-9571-5AB3DFF98FC0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4" name="$B$2">
            <a:extLst>
              <a:ext uri="{FF2B5EF4-FFF2-40B4-BE49-F238E27FC236}">
                <a16:creationId xmlns:a16="http://schemas.microsoft.com/office/drawing/2014/main" id="{9B1FEEB6-422E-4EF9-9A0C-5491D2B5DFCC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5" name="$B$2">
            <a:extLst>
              <a:ext uri="{FF2B5EF4-FFF2-40B4-BE49-F238E27FC236}">
                <a16:creationId xmlns:a16="http://schemas.microsoft.com/office/drawing/2014/main" id="{A8AE0208-E207-4EB8-9AE3-1C95917745BA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6" name="$B$2">
            <a:extLst>
              <a:ext uri="{FF2B5EF4-FFF2-40B4-BE49-F238E27FC236}">
                <a16:creationId xmlns:a16="http://schemas.microsoft.com/office/drawing/2014/main" id="{F82ACC7B-1CE9-4DFE-82FE-231B11AA66D7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7" name="$B$2">
            <a:extLst>
              <a:ext uri="{FF2B5EF4-FFF2-40B4-BE49-F238E27FC236}">
                <a16:creationId xmlns:a16="http://schemas.microsoft.com/office/drawing/2014/main" id="{35547310-FD0A-4191-9FB9-DEB925E9C4B1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8" name="$B$2">
            <a:extLst>
              <a:ext uri="{FF2B5EF4-FFF2-40B4-BE49-F238E27FC236}">
                <a16:creationId xmlns:a16="http://schemas.microsoft.com/office/drawing/2014/main" id="{C777EB2B-EB29-4DF4-9030-C199560BC3F5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9" name="$B$2">
            <a:extLst>
              <a:ext uri="{FF2B5EF4-FFF2-40B4-BE49-F238E27FC236}">
                <a16:creationId xmlns:a16="http://schemas.microsoft.com/office/drawing/2014/main" id="{5188EC4D-6714-4294-B5D9-08FD38A9B0B8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0" name="$B$2">
            <a:extLst>
              <a:ext uri="{FF2B5EF4-FFF2-40B4-BE49-F238E27FC236}">
                <a16:creationId xmlns:a16="http://schemas.microsoft.com/office/drawing/2014/main" id="{F4779AB4-4E37-4813-AD0E-256E6B2831E4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1" name="$B$2">
            <a:extLst>
              <a:ext uri="{FF2B5EF4-FFF2-40B4-BE49-F238E27FC236}">
                <a16:creationId xmlns:a16="http://schemas.microsoft.com/office/drawing/2014/main" id="{5FCD6A55-F25E-4C30-9A0B-D9BD0EC5222F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2" name="$B$2">
            <a:extLst>
              <a:ext uri="{FF2B5EF4-FFF2-40B4-BE49-F238E27FC236}">
                <a16:creationId xmlns:a16="http://schemas.microsoft.com/office/drawing/2014/main" id="{DBD586CC-90D9-44DC-9FE4-ED0E34B8EB22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3" name="$B$2">
            <a:extLst>
              <a:ext uri="{FF2B5EF4-FFF2-40B4-BE49-F238E27FC236}">
                <a16:creationId xmlns:a16="http://schemas.microsoft.com/office/drawing/2014/main" id="{FA644147-C00F-4903-A24C-A15AB0CF0538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4" name="$B$2">
            <a:extLst>
              <a:ext uri="{FF2B5EF4-FFF2-40B4-BE49-F238E27FC236}">
                <a16:creationId xmlns:a16="http://schemas.microsoft.com/office/drawing/2014/main" id="{1D459CBC-5679-410D-A15D-017B21128CFE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5" name="$B$2">
            <a:extLst>
              <a:ext uri="{FF2B5EF4-FFF2-40B4-BE49-F238E27FC236}">
                <a16:creationId xmlns:a16="http://schemas.microsoft.com/office/drawing/2014/main" id="{982E0E50-B925-4E8C-903A-A9808A2AC8F8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6" name="$B$2">
            <a:extLst>
              <a:ext uri="{FF2B5EF4-FFF2-40B4-BE49-F238E27FC236}">
                <a16:creationId xmlns:a16="http://schemas.microsoft.com/office/drawing/2014/main" id="{9FFD456B-395C-4EB9-8E7B-F20E08C0FB28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7" name="$B$2">
            <a:extLst>
              <a:ext uri="{FF2B5EF4-FFF2-40B4-BE49-F238E27FC236}">
                <a16:creationId xmlns:a16="http://schemas.microsoft.com/office/drawing/2014/main" id="{58127BB4-11B1-4270-833A-E066C3AF34FB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8" name="$B$2">
            <a:extLst>
              <a:ext uri="{FF2B5EF4-FFF2-40B4-BE49-F238E27FC236}">
                <a16:creationId xmlns:a16="http://schemas.microsoft.com/office/drawing/2014/main" id="{08EA69FE-7FEA-409B-9392-4BFB77CD4BBB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9" name="$B$2">
            <a:extLst>
              <a:ext uri="{FF2B5EF4-FFF2-40B4-BE49-F238E27FC236}">
                <a16:creationId xmlns:a16="http://schemas.microsoft.com/office/drawing/2014/main" id="{F70DC257-70DC-408A-9009-2DDA404DC640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0" name="$B$2">
            <a:extLst>
              <a:ext uri="{FF2B5EF4-FFF2-40B4-BE49-F238E27FC236}">
                <a16:creationId xmlns:a16="http://schemas.microsoft.com/office/drawing/2014/main" id="{4D2CED53-26EE-4AFE-B482-558798B3B562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1" name="$B$2">
            <a:extLst>
              <a:ext uri="{FF2B5EF4-FFF2-40B4-BE49-F238E27FC236}">
                <a16:creationId xmlns:a16="http://schemas.microsoft.com/office/drawing/2014/main" id="{284E1C7E-D367-419D-817A-91612E2662FA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2" name="$B$2">
            <a:extLst>
              <a:ext uri="{FF2B5EF4-FFF2-40B4-BE49-F238E27FC236}">
                <a16:creationId xmlns:a16="http://schemas.microsoft.com/office/drawing/2014/main" id="{F486E20D-F112-46F3-B907-81A6F03A3DF8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3" name="$B$2">
            <a:extLst>
              <a:ext uri="{FF2B5EF4-FFF2-40B4-BE49-F238E27FC236}">
                <a16:creationId xmlns:a16="http://schemas.microsoft.com/office/drawing/2014/main" id="{78A9C77F-20DE-4858-B6EE-7C436FC8566A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4" name="$B$2">
            <a:extLst>
              <a:ext uri="{FF2B5EF4-FFF2-40B4-BE49-F238E27FC236}">
                <a16:creationId xmlns:a16="http://schemas.microsoft.com/office/drawing/2014/main" id="{70AAFDBD-BADE-41CC-8129-43561BF43728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5" name="$B$2">
            <a:extLst>
              <a:ext uri="{FF2B5EF4-FFF2-40B4-BE49-F238E27FC236}">
                <a16:creationId xmlns:a16="http://schemas.microsoft.com/office/drawing/2014/main" id="{A6CA8DC1-0048-4D46-8310-0F69628A0333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6" name="$B$2">
            <a:extLst>
              <a:ext uri="{FF2B5EF4-FFF2-40B4-BE49-F238E27FC236}">
                <a16:creationId xmlns:a16="http://schemas.microsoft.com/office/drawing/2014/main" id="{F044C1DA-6B71-4267-8D78-6FD01FB15448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7" name="$B$2">
            <a:extLst>
              <a:ext uri="{FF2B5EF4-FFF2-40B4-BE49-F238E27FC236}">
                <a16:creationId xmlns:a16="http://schemas.microsoft.com/office/drawing/2014/main" id="{739B4994-0CE7-4799-AC5D-089BF89E0CF6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8" name="$B$2">
            <a:extLst>
              <a:ext uri="{FF2B5EF4-FFF2-40B4-BE49-F238E27FC236}">
                <a16:creationId xmlns:a16="http://schemas.microsoft.com/office/drawing/2014/main" id="{AFE1DED2-4307-44AB-AB40-3800A0CD4D9E}"/>
              </a:ext>
            </a:extLst>
          </xdr:cNvPr>
          <xdr:cNvSpPr/>
        </xdr:nvSpPr>
        <xdr:spPr>
          <a:xfrm>
            <a:off x="292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9" name="$B$2">
            <a:extLst>
              <a:ext uri="{FF2B5EF4-FFF2-40B4-BE49-F238E27FC236}">
                <a16:creationId xmlns:a16="http://schemas.microsoft.com/office/drawing/2014/main" id="{9657EFCF-2DD0-4366-8328-B720F386758C}"/>
              </a:ext>
            </a:extLst>
          </xdr:cNvPr>
          <xdr:cNvSpPr/>
        </xdr:nvSpPr>
        <xdr:spPr>
          <a:xfrm>
            <a:off x="317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0" name="$B$2">
            <a:extLst>
              <a:ext uri="{FF2B5EF4-FFF2-40B4-BE49-F238E27FC236}">
                <a16:creationId xmlns:a16="http://schemas.microsoft.com/office/drawing/2014/main" id="{ED636C44-424D-4EE1-8F60-5280E90AFAD9}"/>
              </a:ext>
            </a:extLst>
          </xdr:cNvPr>
          <xdr:cNvSpPr/>
        </xdr:nvSpPr>
        <xdr:spPr>
          <a:xfrm>
            <a:off x="355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1" name="$B$2">
            <a:extLst>
              <a:ext uri="{FF2B5EF4-FFF2-40B4-BE49-F238E27FC236}">
                <a16:creationId xmlns:a16="http://schemas.microsoft.com/office/drawing/2014/main" id="{F898C165-FF36-4AFA-86ED-3EF3C0F75BA8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2" name="$B$2">
            <a:extLst>
              <a:ext uri="{FF2B5EF4-FFF2-40B4-BE49-F238E27FC236}">
                <a16:creationId xmlns:a16="http://schemas.microsoft.com/office/drawing/2014/main" id="{887AEB44-11A5-467B-BA68-6852D1D4EE98}"/>
              </a:ext>
            </a:extLst>
          </xdr:cNvPr>
          <xdr:cNvSpPr/>
        </xdr:nvSpPr>
        <xdr:spPr>
          <a:xfrm>
            <a:off x="393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3" name="$B$2">
            <a:extLst>
              <a:ext uri="{FF2B5EF4-FFF2-40B4-BE49-F238E27FC236}">
                <a16:creationId xmlns:a16="http://schemas.microsoft.com/office/drawing/2014/main" id="{6994D247-9C60-4CE1-B843-8617CB5110EE}"/>
              </a:ext>
            </a:extLst>
          </xdr:cNvPr>
          <xdr:cNvSpPr/>
        </xdr:nvSpPr>
        <xdr:spPr>
          <a:xfrm>
            <a:off x="406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4" name="$B$2">
            <a:extLst>
              <a:ext uri="{FF2B5EF4-FFF2-40B4-BE49-F238E27FC236}">
                <a16:creationId xmlns:a16="http://schemas.microsoft.com/office/drawing/2014/main" id="{42D17536-4F19-49A0-8914-1E9B9AE34BF9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5" name="$B$2">
            <a:extLst>
              <a:ext uri="{FF2B5EF4-FFF2-40B4-BE49-F238E27FC236}">
                <a16:creationId xmlns:a16="http://schemas.microsoft.com/office/drawing/2014/main" id="{6BF272D2-0C54-43B8-8319-9D0A1BFACA1B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6" name="$B$2">
            <a:extLst>
              <a:ext uri="{FF2B5EF4-FFF2-40B4-BE49-F238E27FC236}">
                <a16:creationId xmlns:a16="http://schemas.microsoft.com/office/drawing/2014/main" id="{BDFCC830-5E81-4743-98ED-3DCF6944FB1D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7" name="$B$2">
            <a:extLst>
              <a:ext uri="{FF2B5EF4-FFF2-40B4-BE49-F238E27FC236}">
                <a16:creationId xmlns:a16="http://schemas.microsoft.com/office/drawing/2014/main" id="{9138626E-2814-4B2F-9DCC-8565CEB7B73F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8" name="$B$2">
            <a:extLst>
              <a:ext uri="{FF2B5EF4-FFF2-40B4-BE49-F238E27FC236}">
                <a16:creationId xmlns:a16="http://schemas.microsoft.com/office/drawing/2014/main" id="{7DA87CB8-2EBF-41A2-8601-4ED5D569E32C}"/>
              </a:ext>
            </a:extLst>
          </xdr:cNvPr>
          <xdr:cNvSpPr/>
        </xdr:nvSpPr>
        <xdr:spPr>
          <a:xfrm>
            <a:off x="495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9" name="$B$2">
            <a:extLst>
              <a:ext uri="{FF2B5EF4-FFF2-40B4-BE49-F238E27FC236}">
                <a16:creationId xmlns:a16="http://schemas.microsoft.com/office/drawing/2014/main" id="{8B601C5C-7F47-4CFB-A191-2D7C1897827F}"/>
              </a:ext>
            </a:extLst>
          </xdr:cNvPr>
          <xdr:cNvSpPr/>
        </xdr:nvSpPr>
        <xdr:spPr>
          <a:xfrm>
            <a:off x="520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0" name="$B$2">
            <a:extLst>
              <a:ext uri="{FF2B5EF4-FFF2-40B4-BE49-F238E27FC236}">
                <a16:creationId xmlns:a16="http://schemas.microsoft.com/office/drawing/2014/main" id="{D1B3448C-8C7B-4C75-B6B8-942E9B3C22A9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1" name="$B$2">
            <a:extLst>
              <a:ext uri="{FF2B5EF4-FFF2-40B4-BE49-F238E27FC236}">
                <a16:creationId xmlns:a16="http://schemas.microsoft.com/office/drawing/2014/main" id="{79E91098-5239-494C-923E-DE1BDB428869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2" name="$B$2">
            <a:extLst>
              <a:ext uri="{FF2B5EF4-FFF2-40B4-BE49-F238E27FC236}">
                <a16:creationId xmlns:a16="http://schemas.microsoft.com/office/drawing/2014/main" id="{FAF24E61-E133-4D7E-8DFB-E4C8C4646A06}"/>
              </a:ext>
            </a:extLst>
          </xdr:cNvPr>
          <xdr:cNvSpPr/>
        </xdr:nvSpPr>
        <xdr:spPr>
          <a:xfrm>
            <a:off x="596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3" name="$B$2">
            <a:extLst>
              <a:ext uri="{FF2B5EF4-FFF2-40B4-BE49-F238E27FC236}">
                <a16:creationId xmlns:a16="http://schemas.microsoft.com/office/drawing/2014/main" id="{120692D6-790C-42FA-A81C-9DC734ED9C6B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4" name="$B$2">
            <a:extLst>
              <a:ext uri="{FF2B5EF4-FFF2-40B4-BE49-F238E27FC236}">
                <a16:creationId xmlns:a16="http://schemas.microsoft.com/office/drawing/2014/main" id="{FD6DD6EA-05E4-4B7F-A7D0-88FD5F6FBBAA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5" name="$B$2">
            <a:extLst>
              <a:ext uri="{FF2B5EF4-FFF2-40B4-BE49-F238E27FC236}">
                <a16:creationId xmlns:a16="http://schemas.microsoft.com/office/drawing/2014/main" id="{4D1DD012-B3C6-4FCF-9492-228314B0906A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6" name="$B$2">
            <a:extLst>
              <a:ext uri="{FF2B5EF4-FFF2-40B4-BE49-F238E27FC236}">
                <a16:creationId xmlns:a16="http://schemas.microsoft.com/office/drawing/2014/main" id="{06DE17E6-5422-4FA1-89B1-8B734176E8A3}"/>
              </a:ext>
            </a:extLst>
          </xdr:cNvPr>
          <xdr:cNvSpPr/>
        </xdr:nvSpPr>
        <xdr:spPr>
          <a:xfrm>
            <a:off x="673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7" name="$B$2">
            <a:extLst>
              <a:ext uri="{FF2B5EF4-FFF2-40B4-BE49-F238E27FC236}">
                <a16:creationId xmlns:a16="http://schemas.microsoft.com/office/drawing/2014/main" id="{EF1D080F-8681-4D74-9EE5-252034FA6771}"/>
              </a:ext>
            </a:extLst>
          </xdr:cNvPr>
          <xdr:cNvSpPr/>
        </xdr:nvSpPr>
        <xdr:spPr>
          <a:xfrm>
            <a:off x="698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8" name="$B$2">
            <a:extLst>
              <a:ext uri="{FF2B5EF4-FFF2-40B4-BE49-F238E27FC236}">
                <a16:creationId xmlns:a16="http://schemas.microsoft.com/office/drawing/2014/main" id="{89069DF8-5974-4B5C-B308-2C8D31A929EF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9" name="$B$2">
            <a:extLst>
              <a:ext uri="{FF2B5EF4-FFF2-40B4-BE49-F238E27FC236}">
                <a16:creationId xmlns:a16="http://schemas.microsoft.com/office/drawing/2014/main" id="{439747AA-9683-4629-A22D-E81FD6E01CD2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0" name="$B$2">
            <a:extLst>
              <a:ext uri="{FF2B5EF4-FFF2-40B4-BE49-F238E27FC236}">
                <a16:creationId xmlns:a16="http://schemas.microsoft.com/office/drawing/2014/main" id="{B179B1D2-F27B-4A77-999E-7F7785A3830A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1" name="$B$2">
            <a:extLst>
              <a:ext uri="{FF2B5EF4-FFF2-40B4-BE49-F238E27FC236}">
                <a16:creationId xmlns:a16="http://schemas.microsoft.com/office/drawing/2014/main" id="{EAAFFD7B-72AA-477B-9B26-66930A2F3809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2" name="$B$2">
            <a:extLst>
              <a:ext uri="{FF2B5EF4-FFF2-40B4-BE49-F238E27FC236}">
                <a16:creationId xmlns:a16="http://schemas.microsoft.com/office/drawing/2014/main" id="{C7225285-1A27-40C9-B8F4-C2C85A749C70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3" name="$B$2">
            <a:extLst>
              <a:ext uri="{FF2B5EF4-FFF2-40B4-BE49-F238E27FC236}">
                <a16:creationId xmlns:a16="http://schemas.microsoft.com/office/drawing/2014/main" id="{FE5B68CC-8583-4178-9BF7-D230A8CC5CA4}"/>
              </a:ext>
            </a:extLst>
          </xdr:cNvPr>
          <xdr:cNvSpPr/>
        </xdr:nvSpPr>
        <xdr:spPr>
          <a:xfrm>
            <a:off x="787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4" name="$B$2">
            <a:extLst>
              <a:ext uri="{FF2B5EF4-FFF2-40B4-BE49-F238E27FC236}">
                <a16:creationId xmlns:a16="http://schemas.microsoft.com/office/drawing/2014/main" id="{6F126953-23E8-4957-8F1D-3060571AEC46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5" name="$B$2">
            <a:extLst>
              <a:ext uri="{FF2B5EF4-FFF2-40B4-BE49-F238E27FC236}">
                <a16:creationId xmlns:a16="http://schemas.microsoft.com/office/drawing/2014/main" id="{0E73C8F6-6900-47DC-B37F-BD743A5CCDF1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6" name="$B$2">
            <a:extLst>
              <a:ext uri="{FF2B5EF4-FFF2-40B4-BE49-F238E27FC236}">
                <a16:creationId xmlns:a16="http://schemas.microsoft.com/office/drawing/2014/main" id="{FD7948F6-F3E0-4F3C-BF17-365E17FDD11D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7" name="$B$2">
            <a:extLst>
              <a:ext uri="{FF2B5EF4-FFF2-40B4-BE49-F238E27FC236}">
                <a16:creationId xmlns:a16="http://schemas.microsoft.com/office/drawing/2014/main" id="{47F2DC3F-F425-4472-A8A1-4E12D6609037}"/>
              </a:ext>
            </a:extLst>
          </xdr:cNvPr>
          <xdr:cNvSpPr/>
        </xdr:nvSpPr>
        <xdr:spPr>
          <a:xfrm>
            <a:off x="850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8" name="$B$2">
            <a:extLst>
              <a:ext uri="{FF2B5EF4-FFF2-40B4-BE49-F238E27FC236}">
                <a16:creationId xmlns:a16="http://schemas.microsoft.com/office/drawing/2014/main" id="{156EFA28-0BE4-4902-BF65-5B9673D5B413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9" name="$B$2">
            <a:extLst>
              <a:ext uri="{FF2B5EF4-FFF2-40B4-BE49-F238E27FC236}">
                <a16:creationId xmlns:a16="http://schemas.microsoft.com/office/drawing/2014/main" id="{C23F6D8A-4688-4BF3-9A8D-61885FA46635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0" name="$B$2">
            <a:extLst>
              <a:ext uri="{FF2B5EF4-FFF2-40B4-BE49-F238E27FC236}">
                <a16:creationId xmlns:a16="http://schemas.microsoft.com/office/drawing/2014/main" id="{FD2CCBCF-3D27-4C85-844D-63FBF0AA3883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1" name="$B$2">
            <a:extLst>
              <a:ext uri="{FF2B5EF4-FFF2-40B4-BE49-F238E27FC236}">
                <a16:creationId xmlns:a16="http://schemas.microsoft.com/office/drawing/2014/main" id="{835C8362-ADAA-4573-9A30-C2EB18A346E1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2" name="$B$2">
            <a:extLst>
              <a:ext uri="{FF2B5EF4-FFF2-40B4-BE49-F238E27FC236}">
                <a16:creationId xmlns:a16="http://schemas.microsoft.com/office/drawing/2014/main" id="{ED09D561-33EC-4F4D-B5B3-B85A1527317A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3" name="$B$2">
            <a:extLst>
              <a:ext uri="{FF2B5EF4-FFF2-40B4-BE49-F238E27FC236}">
                <a16:creationId xmlns:a16="http://schemas.microsoft.com/office/drawing/2014/main" id="{FB53DD90-CA21-48C5-BD8E-80640CB5B86C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4" name="$B$2">
            <a:extLst>
              <a:ext uri="{FF2B5EF4-FFF2-40B4-BE49-F238E27FC236}">
                <a16:creationId xmlns:a16="http://schemas.microsoft.com/office/drawing/2014/main" id="{573209D2-002E-4E87-A2F8-4FE10263E070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5" name="$B$2">
            <a:extLst>
              <a:ext uri="{FF2B5EF4-FFF2-40B4-BE49-F238E27FC236}">
                <a16:creationId xmlns:a16="http://schemas.microsoft.com/office/drawing/2014/main" id="{B9B09531-98D0-4CC5-80DE-F0833A2FCE64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6" name="$B$2">
            <a:extLst>
              <a:ext uri="{FF2B5EF4-FFF2-40B4-BE49-F238E27FC236}">
                <a16:creationId xmlns:a16="http://schemas.microsoft.com/office/drawing/2014/main" id="{55CB8C3F-64B4-4084-BC41-BA677DA30F13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7" name="$B$2">
            <a:extLst>
              <a:ext uri="{FF2B5EF4-FFF2-40B4-BE49-F238E27FC236}">
                <a16:creationId xmlns:a16="http://schemas.microsoft.com/office/drawing/2014/main" id="{A1A635BE-FBD2-47B2-9B64-48A22FDB543B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8" name="$B$2">
            <a:extLst>
              <a:ext uri="{FF2B5EF4-FFF2-40B4-BE49-F238E27FC236}">
                <a16:creationId xmlns:a16="http://schemas.microsoft.com/office/drawing/2014/main" id="{4D8FE006-2E99-42A2-B60F-71B50E5AEA73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9" name="$B$2">
            <a:extLst>
              <a:ext uri="{FF2B5EF4-FFF2-40B4-BE49-F238E27FC236}">
                <a16:creationId xmlns:a16="http://schemas.microsoft.com/office/drawing/2014/main" id="{19F7B59D-EECA-40BE-BB47-D6DE83C62441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0" name="$B$2">
            <a:extLst>
              <a:ext uri="{FF2B5EF4-FFF2-40B4-BE49-F238E27FC236}">
                <a16:creationId xmlns:a16="http://schemas.microsoft.com/office/drawing/2014/main" id="{90DC8765-C460-4392-AC64-E0A2BB01ECEA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1" name="$B$2">
            <a:extLst>
              <a:ext uri="{FF2B5EF4-FFF2-40B4-BE49-F238E27FC236}">
                <a16:creationId xmlns:a16="http://schemas.microsoft.com/office/drawing/2014/main" id="{178A199C-679E-4AA9-A23F-A315BE7EEB35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2" name="$B$2">
            <a:extLst>
              <a:ext uri="{FF2B5EF4-FFF2-40B4-BE49-F238E27FC236}">
                <a16:creationId xmlns:a16="http://schemas.microsoft.com/office/drawing/2014/main" id="{4A151ED8-6813-4B2F-AFCE-DA1BE73DA8E9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3" name="$B$2">
            <a:extLst>
              <a:ext uri="{FF2B5EF4-FFF2-40B4-BE49-F238E27FC236}">
                <a16:creationId xmlns:a16="http://schemas.microsoft.com/office/drawing/2014/main" id="{16B0D647-EE3E-4A69-B728-6E43EFE89F28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4" name="$B$2">
            <a:extLst>
              <a:ext uri="{FF2B5EF4-FFF2-40B4-BE49-F238E27FC236}">
                <a16:creationId xmlns:a16="http://schemas.microsoft.com/office/drawing/2014/main" id="{200B7710-0D7B-4A2B-B96E-F3F044626139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5" name="$B$2">
            <a:extLst>
              <a:ext uri="{FF2B5EF4-FFF2-40B4-BE49-F238E27FC236}">
                <a16:creationId xmlns:a16="http://schemas.microsoft.com/office/drawing/2014/main" id="{814CBB3D-F4A4-42EE-96DC-4CBC62FF1605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6" name="$B$2">
            <a:extLst>
              <a:ext uri="{FF2B5EF4-FFF2-40B4-BE49-F238E27FC236}">
                <a16:creationId xmlns:a16="http://schemas.microsoft.com/office/drawing/2014/main" id="{18858365-6C21-4A37-91DF-F69882CBB006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7" name="$B$2">
            <a:extLst>
              <a:ext uri="{FF2B5EF4-FFF2-40B4-BE49-F238E27FC236}">
                <a16:creationId xmlns:a16="http://schemas.microsoft.com/office/drawing/2014/main" id="{6C76E3F0-4B7B-4B06-8D32-048C94EE164D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8" name="$B$2">
            <a:extLst>
              <a:ext uri="{FF2B5EF4-FFF2-40B4-BE49-F238E27FC236}">
                <a16:creationId xmlns:a16="http://schemas.microsoft.com/office/drawing/2014/main" id="{E90979EE-B3FD-40BF-A78B-2F8FCC2C30DF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9" name="$B$2">
            <a:extLst>
              <a:ext uri="{FF2B5EF4-FFF2-40B4-BE49-F238E27FC236}">
                <a16:creationId xmlns:a16="http://schemas.microsoft.com/office/drawing/2014/main" id="{2350ABC9-FADC-45CE-ABE4-C3DC2F276367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0" name="$B$2">
            <a:extLst>
              <a:ext uri="{FF2B5EF4-FFF2-40B4-BE49-F238E27FC236}">
                <a16:creationId xmlns:a16="http://schemas.microsoft.com/office/drawing/2014/main" id="{3E12979E-ECE0-4830-8F66-0FAC1389C19D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1" name="$B$2">
            <a:extLst>
              <a:ext uri="{FF2B5EF4-FFF2-40B4-BE49-F238E27FC236}">
                <a16:creationId xmlns:a16="http://schemas.microsoft.com/office/drawing/2014/main" id="{A6B6332D-1A94-4E46-A841-7EF08E34D221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2" name="$B$2">
            <a:extLst>
              <a:ext uri="{FF2B5EF4-FFF2-40B4-BE49-F238E27FC236}">
                <a16:creationId xmlns:a16="http://schemas.microsoft.com/office/drawing/2014/main" id="{7F3B19A5-A598-4662-B11F-7B7CC2E7AF0C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3" name="$B$2">
            <a:extLst>
              <a:ext uri="{FF2B5EF4-FFF2-40B4-BE49-F238E27FC236}">
                <a16:creationId xmlns:a16="http://schemas.microsoft.com/office/drawing/2014/main" id="{31022D84-53EB-4B11-A161-A8BF86447917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4" name="$B$2">
            <a:extLst>
              <a:ext uri="{FF2B5EF4-FFF2-40B4-BE49-F238E27FC236}">
                <a16:creationId xmlns:a16="http://schemas.microsoft.com/office/drawing/2014/main" id="{CC6DF8D0-0235-40C3-A28F-4F0946D0AE6E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5" name="$B$2">
            <a:extLst>
              <a:ext uri="{FF2B5EF4-FFF2-40B4-BE49-F238E27FC236}">
                <a16:creationId xmlns:a16="http://schemas.microsoft.com/office/drawing/2014/main" id="{6ECCEDE8-2D64-44AA-826A-E90A7734665A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6" name="$B$2">
            <a:extLst>
              <a:ext uri="{FF2B5EF4-FFF2-40B4-BE49-F238E27FC236}">
                <a16:creationId xmlns:a16="http://schemas.microsoft.com/office/drawing/2014/main" id="{57D57912-4C38-409E-B10E-740DF15AC6B9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7" name="$B$2">
            <a:extLst>
              <a:ext uri="{FF2B5EF4-FFF2-40B4-BE49-F238E27FC236}">
                <a16:creationId xmlns:a16="http://schemas.microsoft.com/office/drawing/2014/main" id="{8FEAB6D0-A7A6-49CC-BC14-A90976C93786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8" name="$B$2">
            <a:extLst>
              <a:ext uri="{FF2B5EF4-FFF2-40B4-BE49-F238E27FC236}">
                <a16:creationId xmlns:a16="http://schemas.microsoft.com/office/drawing/2014/main" id="{50E5E4CD-57E1-4D00-A92A-B045380626E3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9" name="$B$2">
            <a:extLst>
              <a:ext uri="{FF2B5EF4-FFF2-40B4-BE49-F238E27FC236}">
                <a16:creationId xmlns:a16="http://schemas.microsoft.com/office/drawing/2014/main" id="{8F2FF857-989D-441E-A338-423B3F3921AA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0" name="$B$2">
            <a:extLst>
              <a:ext uri="{FF2B5EF4-FFF2-40B4-BE49-F238E27FC236}">
                <a16:creationId xmlns:a16="http://schemas.microsoft.com/office/drawing/2014/main" id="{BB984EE5-2F11-47E2-90C8-04473F1C5420}"/>
              </a:ext>
            </a:extLst>
          </xdr:cNvPr>
          <xdr:cNvSpPr/>
        </xdr:nvSpPr>
        <xdr:spPr>
          <a:xfrm>
            <a:off x="457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1" name="$B$2">
            <a:extLst>
              <a:ext uri="{FF2B5EF4-FFF2-40B4-BE49-F238E27FC236}">
                <a16:creationId xmlns:a16="http://schemas.microsoft.com/office/drawing/2014/main" id="{E46D1A4C-100C-4799-8CAD-4BEC2C4DA520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2" name="$B$2">
            <a:extLst>
              <a:ext uri="{FF2B5EF4-FFF2-40B4-BE49-F238E27FC236}">
                <a16:creationId xmlns:a16="http://schemas.microsoft.com/office/drawing/2014/main" id="{73065FD5-363F-48EB-956C-608B4F582A8F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3" name="$B$2">
            <a:extLst>
              <a:ext uri="{FF2B5EF4-FFF2-40B4-BE49-F238E27FC236}">
                <a16:creationId xmlns:a16="http://schemas.microsoft.com/office/drawing/2014/main" id="{328606E8-745D-40B6-8525-6D634F3020ED}"/>
              </a:ext>
            </a:extLst>
          </xdr:cNvPr>
          <xdr:cNvSpPr/>
        </xdr:nvSpPr>
        <xdr:spPr>
          <a:xfrm>
            <a:off x="533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4" name="$B$2">
            <a:extLst>
              <a:ext uri="{FF2B5EF4-FFF2-40B4-BE49-F238E27FC236}">
                <a16:creationId xmlns:a16="http://schemas.microsoft.com/office/drawing/2014/main" id="{7E73E997-416F-4833-AA73-78D91F459C46}"/>
              </a:ext>
            </a:extLst>
          </xdr:cNvPr>
          <xdr:cNvSpPr/>
        </xdr:nvSpPr>
        <xdr:spPr>
          <a:xfrm>
            <a:off x="546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5" name="$B$2">
            <a:extLst>
              <a:ext uri="{FF2B5EF4-FFF2-40B4-BE49-F238E27FC236}">
                <a16:creationId xmlns:a16="http://schemas.microsoft.com/office/drawing/2014/main" id="{D68F7F93-B70E-43C9-8E06-C2A9B4CE6BA5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6" name="$B$2">
            <a:extLst>
              <a:ext uri="{FF2B5EF4-FFF2-40B4-BE49-F238E27FC236}">
                <a16:creationId xmlns:a16="http://schemas.microsoft.com/office/drawing/2014/main" id="{597D91C3-04B0-4E79-B550-A19540E7F588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7" name="$B$2">
            <a:extLst>
              <a:ext uri="{FF2B5EF4-FFF2-40B4-BE49-F238E27FC236}">
                <a16:creationId xmlns:a16="http://schemas.microsoft.com/office/drawing/2014/main" id="{1DB36C49-B627-4053-B74C-F6C1C79ECF5A}"/>
              </a:ext>
            </a:extLst>
          </xdr:cNvPr>
          <xdr:cNvSpPr/>
        </xdr:nvSpPr>
        <xdr:spPr>
          <a:xfrm>
            <a:off x="584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8" name="$B$2">
            <a:extLst>
              <a:ext uri="{FF2B5EF4-FFF2-40B4-BE49-F238E27FC236}">
                <a16:creationId xmlns:a16="http://schemas.microsoft.com/office/drawing/2014/main" id="{D46B7CCB-9807-4F80-A120-0E19F311D334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9" name="$B$2">
            <a:extLst>
              <a:ext uri="{FF2B5EF4-FFF2-40B4-BE49-F238E27FC236}">
                <a16:creationId xmlns:a16="http://schemas.microsoft.com/office/drawing/2014/main" id="{DA3BE7FD-3FC3-4813-B7DF-3B3769666627}"/>
              </a:ext>
            </a:extLst>
          </xdr:cNvPr>
          <xdr:cNvSpPr/>
        </xdr:nvSpPr>
        <xdr:spPr>
          <a:xfrm>
            <a:off x="622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0" name="$B$2">
            <a:extLst>
              <a:ext uri="{FF2B5EF4-FFF2-40B4-BE49-F238E27FC236}">
                <a16:creationId xmlns:a16="http://schemas.microsoft.com/office/drawing/2014/main" id="{010B41A7-C28B-4699-9F25-5A32BCE66896}"/>
              </a:ext>
            </a:extLst>
          </xdr:cNvPr>
          <xdr:cNvSpPr/>
        </xdr:nvSpPr>
        <xdr:spPr>
          <a:xfrm>
            <a:off x="635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1" name="$B$2">
            <a:extLst>
              <a:ext uri="{FF2B5EF4-FFF2-40B4-BE49-F238E27FC236}">
                <a16:creationId xmlns:a16="http://schemas.microsoft.com/office/drawing/2014/main" id="{84F7FD07-2E83-4FC7-BB89-A45FEFF310C4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2" name="$B$2">
            <a:extLst>
              <a:ext uri="{FF2B5EF4-FFF2-40B4-BE49-F238E27FC236}">
                <a16:creationId xmlns:a16="http://schemas.microsoft.com/office/drawing/2014/main" id="{28949672-8181-4ECA-B8B7-63111D73E259}"/>
              </a:ext>
            </a:extLst>
          </xdr:cNvPr>
          <xdr:cNvSpPr/>
        </xdr:nvSpPr>
        <xdr:spPr>
          <a:xfrm>
            <a:off x="673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3" name="$B$2">
            <a:extLst>
              <a:ext uri="{FF2B5EF4-FFF2-40B4-BE49-F238E27FC236}">
                <a16:creationId xmlns:a16="http://schemas.microsoft.com/office/drawing/2014/main" id="{E603F46B-2C54-4B0A-8E62-C5C4DBBA412D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4" name="$B$2">
            <a:extLst>
              <a:ext uri="{FF2B5EF4-FFF2-40B4-BE49-F238E27FC236}">
                <a16:creationId xmlns:a16="http://schemas.microsoft.com/office/drawing/2014/main" id="{C8C44BA1-54CC-4AC9-B9AA-0302E649FD9A}"/>
              </a:ext>
            </a:extLst>
          </xdr:cNvPr>
          <xdr:cNvSpPr/>
        </xdr:nvSpPr>
        <xdr:spPr>
          <a:xfrm>
            <a:off x="698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5" name="$B$2">
            <a:extLst>
              <a:ext uri="{FF2B5EF4-FFF2-40B4-BE49-F238E27FC236}">
                <a16:creationId xmlns:a16="http://schemas.microsoft.com/office/drawing/2014/main" id="{5CA487AC-2145-494B-A794-69D62669B3CD}"/>
              </a:ext>
            </a:extLst>
          </xdr:cNvPr>
          <xdr:cNvSpPr/>
        </xdr:nvSpPr>
        <xdr:spPr>
          <a:xfrm>
            <a:off x="711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6" name="$B$2">
            <a:extLst>
              <a:ext uri="{FF2B5EF4-FFF2-40B4-BE49-F238E27FC236}">
                <a16:creationId xmlns:a16="http://schemas.microsoft.com/office/drawing/2014/main" id="{BA73C5BF-2D41-4EF2-9C0C-0C0EF0112480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7" name="$B$2">
            <a:extLst>
              <a:ext uri="{FF2B5EF4-FFF2-40B4-BE49-F238E27FC236}">
                <a16:creationId xmlns:a16="http://schemas.microsoft.com/office/drawing/2014/main" id="{CAFEF58F-386B-4F25-927A-20CC3350597C}"/>
              </a:ext>
            </a:extLst>
          </xdr:cNvPr>
          <xdr:cNvSpPr/>
        </xdr:nvSpPr>
        <xdr:spPr>
          <a:xfrm>
            <a:off x="774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8" name="$B$2">
            <a:extLst>
              <a:ext uri="{FF2B5EF4-FFF2-40B4-BE49-F238E27FC236}">
                <a16:creationId xmlns:a16="http://schemas.microsoft.com/office/drawing/2014/main" id="{C892EAB0-3CD6-4A82-8B9F-BF712DF3A70E}"/>
              </a:ext>
            </a:extLst>
          </xdr:cNvPr>
          <xdr:cNvSpPr/>
        </xdr:nvSpPr>
        <xdr:spPr>
          <a:xfrm>
            <a:off x="787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9" name="$B$2">
            <a:extLst>
              <a:ext uri="{FF2B5EF4-FFF2-40B4-BE49-F238E27FC236}">
                <a16:creationId xmlns:a16="http://schemas.microsoft.com/office/drawing/2014/main" id="{085C08A0-FAC9-4E52-95FA-56BFB5FECED4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0" name="$B$2">
            <a:extLst>
              <a:ext uri="{FF2B5EF4-FFF2-40B4-BE49-F238E27FC236}">
                <a16:creationId xmlns:a16="http://schemas.microsoft.com/office/drawing/2014/main" id="{5C0F7364-3FE6-40A2-9D5E-A772BF6A5A13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1" name="$B$2">
            <a:extLst>
              <a:ext uri="{FF2B5EF4-FFF2-40B4-BE49-F238E27FC236}">
                <a16:creationId xmlns:a16="http://schemas.microsoft.com/office/drawing/2014/main" id="{18D07EB7-16BB-416D-A522-DBB75726359F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2" name="$B$2">
            <a:extLst>
              <a:ext uri="{FF2B5EF4-FFF2-40B4-BE49-F238E27FC236}">
                <a16:creationId xmlns:a16="http://schemas.microsoft.com/office/drawing/2014/main" id="{5B4478D5-5A68-4E8D-8903-C57BDE27ECEB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3" name="$B$2">
            <a:extLst>
              <a:ext uri="{FF2B5EF4-FFF2-40B4-BE49-F238E27FC236}">
                <a16:creationId xmlns:a16="http://schemas.microsoft.com/office/drawing/2014/main" id="{84D0CFCE-D07C-41A8-9200-A36B8AD409C0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4" name="$B$2">
            <a:extLst>
              <a:ext uri="{FF2B5EF4-FFF2-40B4-BE49-F238E27FC236}">
                <a16:creationId xmlns:a16="http://schemas.microsoft.com/office/drawing/2014/main" id="{4B351D33-E95E-4090-AB9E-400AFA5044A7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5" name="$B$2">
            <a:extLst>
              <a:ext uri="{FF2B5EF4-FFF2-40B4-BE49-F238E27FC236}">
                <a16:creationId xmlns:a16="http://schemas.microsoft.com/office/drawing/2014/main" id="{0751427D-B578-4A19-88AC-57909C5971C5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6" name="$B$2">
            <a:extLst>
              <a:ext uri="{FF2B5EF4-FFF2-40B4-BE49-F238E27FC236}">
                <a16:creationId xmlns:a16="http://schemas.microsoft.com/office/drawing/2014/main" id="{7132D6E8-B8D7-4350-B802-A29A18C13B83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7" name="$B$2">
            <a:extLst>
              <a:ext uri="{FF2B5EF4-FFF2-40B4-BE49-F238E27FC236}">
                <a16:creationId xmlns:a16="http://schemas.microsoft.com/office/drawing/2014/main" id="{015391FA-AEBC-4CAD-9A69-BB2561A64B6C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8" name="$B$2">
            <a:extLst>
              <a:ext uri="{FF2B5EF4-FFF2-40B4-BE49-F238E27FC236}">
                <a16:creationId xmlns:a16="http://schemas.microsoft.com/office/drawing/2014/main" id="{17E88693-6DC4-40BE-961B-C284DE709C17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9" name="$B$2">
            <a:extLst>
              <a:ext uri="{FF2B5EF4-FFF2-40B4-BE49-F238E27FC236}">
                <a16:creationId xmlns:a16="http://schemas.microsoft.com/office/drawing/2014/main" id="{9DC32901-794E-4221-B0B2-A0265230478C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0" name="$B$2">
            <a:extLst>
              <a:ext uri="{FF2B5EF4-FFF2-40B4-BE49-F238E27FC236}">
                <a16:creationId xmlns:a16="http://schemas.microsoft.com/office/drawing/2014/main" id="{C8FCCB12-4CCE-429C-9C9D-8A8AE625CBF8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1" name="$B$2">
            <a:extLst>
              <a:ext uri="{FF2B5EF4-FFF2-40B4-BE49-F238E27FC236}">
                <a16:creationId xmlns:a16="http://schemas.microsoft.com/office/drawing/2014/main" id="{0092D583-7527-4325-925B-BCCEFBB8CD75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2" name="$B$2">
            <a:extLst>
              <a:ext uri="{FF2B5EF4-FFF2-40B4-BE49-F238E27FC236}">
                <a16:creationId xmlns:a16="http://schemas.microsoft.com/office/drawing/2014/main" id="{BB6309E0-E711-4722-ACFF-853F4193638A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3" name="$B$2">
            <a:extLst>
              <a:ext uri="{FF2B5EF4-FFF2-40B4-BE49-F238E27FC236}">
                <a16:creationId xmlns:a16="http://schemas.microsoft.com/office/drawing/2014/main" id="{ED0F6A02-E8F0-4499-8663-1ACEDC47D572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4" name="$B$2">
            <a:extLst>
              <a:ext uri="{FF2B5EF4-FFF2-40B4-BE49-F238E27FC236}">
                <a16:creationId xmlns:a16="http://schemas.microsoft.com/office/drawing/2014/main" id="{F935B394-ED07-4A24-9190-99C0C93FB682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5" name="$B$2">
            <a:extLst>
              <a:ext uri="{FF2B5EF4-FFF2-40B4-BE49-F238E27FC236}">
                <a16:creationId xmlns:a16="http://schemas.microsoft.com/office/drawing/2014/main" id="{89674868-0D73-4740-9225-5311C7E59CD1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6" name="$B$2">
            <a:extLst>
              <a:ext uri="{FF2B5EF4-FFF2-40B4-BE49-F238E27FC236}">
                <a16:creationId xmlns:a16="http://schemas.microsoft.com/office/drawing/2014/main" id="{32993BF9-035F-484A-94B2-14B032CB53FB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7" name="$B$2">
            <a:extLst>
              <a:ext uri="{FF2B5EF4-FFF2-40B4-BE49-F238E27FC236}">
                <a16:creationId xmlns:a16="http://schemas.microsoft.com/office/drawing/2014/main" id="{F2F2ACA1-5031-43D4-88CD-5D9156197BEF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8" name="$B$2">
            <a:extLst>
              <a:ext uri="{FF2B5EF4-FFF2-40B4-BE49-F238E27FC236}">
                <a16:creationId xmlns:a16="http://schemas.microsoft.com/office/drawing/2014/main" id="{AD55CBA7-BFF4-4D67-9C95-D07C8AA644AF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9" name="$B$2">
            <a:extLst>
              <a:ext uri="{FF2B5EF4-FFF2-40B4-BE49-F238E27FC236}">
                <a16:creationId xmlns:a16="http://schemas.microsoft.com/office/drawing/2014/main" id="{732DD2DC-9667-4313-B14B-50E877CB3BEA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0" name="$B$2">
            <a:extLst>
              <a:ext uri="{FF2B5EF4-FFF2-40B4-BE49-F238E27FC236}">
                <a16:creationId xmlns:a16="http://schemas.microsoft.com/office/drawing/2014/main" id="{7529F2F6-2F57-4D25-BCB8-83EE393B1093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1" name="$B$2">
            <a:extLst>
              <a:ext uri="{FF2B5EF4-FFF2-40B4-BE49-F238E27FC236}">
                <a16:creationId xmlns:a16="http://schemas.microsoft.com/office/drawing/2014/main" id="{ECEFFD3E-4A71-4B14-ADD4-BB5734EF2CDF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2" name="$B$2">
            <a:extLst>
              <a:ext uri="{FF2B5EF4-FFF2-40B4-BE49-F238E27FC236}">
                <a16:creationId xmlns:a16="http://schemas.microsoft.com/office/drawing/2014/main" id="{2194E42A-F673-4E27-938D-C359509FF272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3" name="$B$2">
            <a:extLst>
              <a:ext uri="{FF2B5EF4-FFF2-40B4-BE49-F238E27FC236}">
                <a16:creationId xmlns:a16="http://schemas.microsoft.com/office/drawing/2014/main" id="{1A75E5C1-A084-4715-9923-7BA745B4FE70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4" name="$B$2">
            <a:extLst>
              <a:ext uri="{FF2B5EF4-FFF2-40B4-BE49-F238E27FC236}">
                <a16:creationId xmlns:a16="http://schemas.microsoft.com/office/drawing/2014/main" id="{BCD12B78-E49C-4E32-AD57-6086081EE90B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5" name="$B$2">
            <a:extLst>
              <a:ext uri="{FF2B5EF4-FFF2-40B4-BE49-F238E27FC236}">
                <a16:creationId xmlns:a16="http://schemas.microsoft.com/office/drawing/2014/main" id="{6C4DFF89-7C55-4AEC-8FB2-72E60B8685A4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6" name="$B$2">
            <a:extLst>
              <a:ext uri="{FF2B5EF4-FFF2-40B4-BE49-F238E27FC236}">
                <a16:creationId xmlns:a16="http://schemas.microsoft.com/office/drawing/2014/main" id="{A63F43A7-5B80-4C4C-93C7-362C509CDFBD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7" name="$B$2">
            <a:extLst>
              <a:ext uri="{FF2B5EF4-FFF2-40B4-BE49-F238E27FC236}">
                <a16:creationId xmlns:a16="http://schemas.microsoft.com/office/drawing/2014/main" id="{F452FFA6-478E-439B-A646-86103C4FCBE5}"/>
              </a:ext>
            </a:extLst>
          </xdr:cNvPr>
          <xdr:cNvSpPr/>
        </xdr:nvSpPr>
        <xdr:spPr>
          <a:xfrm>
            <a:off x="393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8" name="$B$2">
            <a:extLst>
              <a:ext uri="{FF2B5EF4-FFF2-40B4-BE49-F238E27FC236}">
                <a16:creationId xmlns:a16="http://schemas.microsoft.com/office/drawing/2014/main" id="{81F22A94-670A-4CB5-8D1D-D9D6A6AB18E7}"/>
              </a:ext>
            </a:extLst>
          </xdr:cNvPr>
          <xdr:cNvSpPr/>
        </xdr:nvSpPr>
        <xdr:spPr>
          <a:xfrm>
            <a:off x="406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9" name="$B$2">
            <a:extLst>
              <a:ext uri="{FF2B5EF4-FFF2-40B4-BE49-F238E27FC236}">
                <a16:creationId xmlns:a16="http://schemas.microsoft.com/office/drawing/2014/main" id="{607EC658-EB75-4D0A-B26A-ED4504C462F8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0" name="$B$2">
            <a:extLst>
              <a:ext uri="{FF2B5EF4-FFF2-40B4-BE49-F238E27FC236}">
                <a16:creationId xmlns:a16="http://schemas.microsoft.com/office/drawing/2014/main" id="{C357080C-647F-49F4-A158-C0311C368548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1" name="$B$2">
            <a:extLst>
              <a:ext uri="{FF2B5EF4-FFF2-40B4-BE49-F238E27FC236}">
                <a16:creationId xmlns:a16="http://schemas.microsoft.com/office/drawing/2014/main" id="{199961A6-632C-4C58-AAAD-8AA311CA6E82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2" name="$B$2">
            <a:extLst>
              <a:ext uri="{FF2B5EF4-FFF2-40B4-BE49-F238E27FC236}">
                <a16:creationId xmlns:a16="http://schemas.microsoft.com/office/drawing/2014/main" id="{DEB82F9E-7375-4E07-9561-36BAD88F91E0}"/>
              </a:ext>
            </a:extLst>
          </xdr:cNvPr>
          <xdr:cNvSpPr/>
        </xdr:nvSpPr>
        <xdr:spPr>
          <a:xfrm>
            <a:off x="508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3" name="$B$2">
            <a:extLst>
              <a:ext uri="{FF2B5EF4-FFF2-40B4-BE49-F238E27FC236}">
                <a16:creationId xmlns:a16="http://schemas.microsoft.com/office/drawing/2014/main" id="{5B39739F-87B3-4A8D-B22D-C90A78333A8A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4" name="$B$2">
            <a:extLst>
              <a:ext uri="{FF2B5EF4-FFF2-40B4-BE49-F238E27FC236}">
                <a16:creationId xmlns:a16="http://schemas.microsoft.com/office/drawing/2014/main" id="{68FFFEF7-E2F9-46FE-BED4-63F4CCF66529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5" name="$B$2">
            <a:extLst>
              <a:ext uri="{FF2B5EF4-FFF2-40B4-BE49-F238E27FC236}">
                <a16:creationId xmlns:a16="http://schemas.microsoft.com/office/drawing/2014/main" id="{65011F96-1838-4C52-9835-86CB713E88F0}"/>
              </a:ext>
            </a:extLst>
          </xdr:cNvPr>
          <xdr:cNvSpPr/>
        </xdr:nvSpPr>
        <xdr:spPr>
          <a:xfrm>
            <a:off x="558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6" name="$B$2">
            <a:extLst>
              <a:ext uri="{FF2B5EF4-FFF2-40B4-BE49-F238E27FC236}">
                <a16:creationId xmlns:a16="http://schemas.microsoft.com/office/drawing/2014/main" id="{AE7783EC-C434-4305-9C98-C1FF73F3EE76}"/>
              </a:ext>
            </a:extLst>
          </xdr:cNvPr>
          <xdr:cNvSpPr/>
        </xdr:nvSpPr>
        <xdr:spPr>
          <a:xfrm>
            <a:off x="571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7" name="$B$2">
            <a:extLst>
              <a:ext uri="{FF2B5EF4-FFF2-40B4-BE49-F238E27FC236}">
                <a16:creationId xmlns:a16="http://schemas.microsoft.com/office/drawing/2014/main" id="{8D90D6C3-883B-4CE0-B930-A19C93AA26F4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8" name="$B$2">
            <a:extLst>
              <a:ext uri="{FF2B5EF4-FFF2-40B4-BE49-F238E27FC236}">
                <a16:creationId xmlns:a16="http://schemas.microsoft.com/office/drawing/2014/main" id="{1839F2E7-4003-4E6C-A9AD-7050F0F72EA9}"/>
              </a:ext>
            </a:extLst>
          </xdr:cNvPr>
          <xdr:cNvSpPr/>
        </xdr:nvSpPr>
        <xdr:spPr>
          <a:xfrm>
            <a:off x="609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9" name="$B$2">
            <a:extLst>
              <a:ext uri="{FF2B5EF4-FFF2-40B4-BE49-F238E27FC236}">
                <a16:creationId xmlns:a16="http://schemas.microsoft.com/office/drawing/2014/main" id="{2E2E038F-332D-4F37-A022-2D2E221A26B8}"/>
              </a:ext>
            </a:extLst>
          </xdr:cNvPr>
          <xdr:cNvSpPr/>
        </xdr:nvSpPr>
        <xdr:spPr>
          <a:xfrm>
            <a:off x="622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0" name="$B$2">
            <a:extLst>
              <a:ext uri="{FF2B5EF4-FFF2-40B4-BE49-F238E27FC236}">
                <a16:creationId xmlns:a16="http://schemas.microsoft.com/office/drawing/2014/main" id="{50D29A3E-640F-41AD-8EE8-2CA75D893EA0}"/>
              </a:ext>
            </a:extLst>
          </xdr:cNvPr>
          <xdr:cNvSpPr/>
        </xdr:nvSpPr>
        <xdr:spPr>
          <a:xfrm>
            <a:off x="635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1" name="$B$2">
            <a:extLst>
              <a:ext uri="{FF2B5EF4-FFF2-40B4-BE49-F238E27FC236}">
                <a16:creationId xmlns:a16="http://schemas.microsoft.com/office/drawing/2014/main" id="{83F55D3C-5549-4775-8B1E-99214F038A6E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2" name="$B$2">
            <a:extLst>
              <a:ext uri="{FF2B5EF4-FFF2-40B4-BE49-F238E27FC236}">
                <a16:creationId xmlns:a16="http://schemas.microsoft.com/office/drawing/2014/main" id="{FB45BCCE-A366-4ADA-B1EC-652F4668813C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3" name="$B$2">
            <a:extLst>
              <a:ext uri="{FF2B5EF4-FFF2-40B4-BE49-F238E27FC236}">
                <a16:creationId xmlns:a16="http://schemas.microsoft.com/office/drawing/2014/main" id="{E33217B5-918E-4AC8-B1D8-DC4C7EFC9D92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4" name="$B$2">
            <a:extLst>
              <a:ext uri="{FF2B5EF4-FFF2-40B4-BE49-F238E27FC236}">
                <a16:creationId xmlns:a16="http://schemas.microsoft.com/office/drawing/2014/main" id="{1F99761F-1FF0-4338-AF7A-4B01FA0B792D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5" name="$B$2">
            <a:extLst>
              <a:ext uri="{FF2B5EF4-FFF2-40B4-BE49-F238E27FC236}">
                <a16:creationId xmlns:a16="http://schemas.microsoft.com/office/drawing/2014/main" id="{6EF55271-87AE-4C8A-BD70-B19D0CD110BF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6" name="$B$2">
            <a:extLst>
              <a:ext uri="{FF2B5EF4-FFF2-40B4-BE49-F238E27FC236}">
                <a16:creationId xmlns:a16="http://schemas.microsoft.com/office/drawing/2014/main" id="{61763182-FAFD-431E-8847-53EC502C3DC3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7" name="$B$2">
            <a:extLst>
              <a:ext uri="{FF2B5EF4-FFF2-40B4-BE49-F238E27FC236}">
                <a16:creationId xmlns:a16="http://schemas.microsoft.com/office/drawing/2014/main" id="{43AC9FFF-52C5-4C07-90EE-CCB10802E30E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8" name="$B$2">
            <a:extLst>
              <a:ext uri="{FF2B5EF4-FFF2-40B4-BE49-F238E27FC236}">
                <a16:creationId xmlns:a16="http://schemas.microsoft.com/office/drawing/2014/main" id="{D94F9EA7-C5F5-4F5D-B814-EA1097832BAD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9" name="$B$2">
            <a:extLst>
              <a:ext uri="{FF2B5EF4-FFF2-40B4-BE49-F238E27FC236}">
                <a16:creationId xmlns:a16="http://schemas.microsoft.com/office/drawing/2014/main" id="{F16EBB58-AB1F-4C22-AFF4-69B10B8BADFE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0" name="$B$2">
            <a:extLst>
              <a:ext uri="{FF2B5EF4-FFF2-40B4-BE49-F238E27FC236}">
                <a16:creationId xmlns:a16="http://schemas.microsoft.com/office/drawing/2014/main" id="{7C6495E1-05A3-4C83-9FEB-E15CAC4A6EDD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1" name="$B$2">
            <a:extLst>
              <a:ext uri="{FF2B5EF4-FFF2-40B4-BE49-F238E27FC236}">
                <a16:creationId xmlns:a16="http://schemas.microsoft.com/office/drawing/2014/main" id="{4D6C9F7C-3D23-4FB6-99EA-0F098E2ECE2C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2" name="$B$2">
            <a:extLst>
              <a:ext uri="{FF2B5EF4-FFF2-40B4-BE49-F238E27FC236}">
                <a16:creationId xmlns:a16="http://schemas.microsoft.com/office/drawing/2014/main" id="{06831193-93EE-4114-920E-1DE32108314E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3" name="$B$2">
            <a:extLst>
              <a:ext uri="{FF2B5EF4-FFF2-40B4-BE49-F238E27FC236}">
                <a16:creationId xmlns:a16="http://schemas.microsoft.com/office/drawing/2014/main" id="{8545A9E9-471E-44AF-85AB-F226A0DD8FC0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4" name="$B$2">
            <a:extLst>
              <a:ext uri="{FF2B5EF4-FFF2-40B4-BE49-F238E27FC236}">
                <a16:creationId xmlns:a16="http://schemas.microsoft.com/office/drawing/2014/main" id="{85D3888A-1C70-4B1C-828A-0063FFD79F84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5" name="$B$2">
            <a:extLst>
              <a:ext uri="{FF2B5EF4-FFF2-40B4-BE49-F238E27FC236}">
                <a16:creationId xmlns:a16="http://schemas.microsoft.com/office/drawing/2014/main" id="{F1BA1887-0849-4648-BF83-3A43A7A43A47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6" name="$B$2">
            <a:extLst>
              <a:ext uri="{FF2B5EF4-FFF2-40B4-BE49-F238E27FC236}">
                <a16:creationId xmlns:a16="http://schemas.microsoft.com/office/drawing/2014/main" id="{005F78CA-C193-4379-ACA9-AEF0FB2B277A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7" name="$B$2">
            <a:extLst>
              <a:ext uri="{FF2B5EF4-FFF2-40B4-BE49-F238E27FC236}">
                <a16:creationId xmlns:a16="http://schemas.microsoft.com/office/drawing/2014/main" id="{5875B749-9E06-4B11-9507-91167E7A4F20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8" name="$B$2">
            <a:extLst>
              <a:ext uri="{FF2B5EF4-FFF2-40B4-BE49-F238E27FC236}">
                <a16:creationId xmlns:a16="http://schemas.microsoft.com/office/drawing/2014/main" id="{A7A3F863-B813-4847-89DD-54CA34292E3C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9" name="$B$2">
            <a:extLst>
              <a:ext uri="{FF2B5EF4-FFF2-40B4-BE49-F238E27FC236}">
                <a16:creationId xmlns:a16="http://schemas.microsoft.com/office/drawing/2014/main" id="{FDABF02F-2D06-4F09-9E8C-4997E014E38B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0" name="$B$2">
            <a:extLst>
              <a:ext uri="{FF2B5EF4-FFF2-40B4-BE49-F238E27FC236}">
                <a16:creationId xmlns:a16="http://schemas.microsoft.com/office/drawing/2014/main" id="{D12B5F8B-5D71-4407-A77C-E5D902560933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1" name="$B$2">
            <a:extLst>
              <a:ext uri="{FF2B5EF4-FFF2-40B4-BE49-F238E27FC236}">
                <a16:creationId xmlns:a16="http://schemas.microsoft.com/office/drawing/2014/main" id="{60575077-0FCA-433E-B295-1372AA0B6CF7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2" name="$B$2">
            <a:extLst>
              <a:ext uri="{FF2B5EF4-FFF2-40B4-BE49-F238E27FC236}">
                <a16:creationId xmlns:a16="http://schemas.microsoft.com/office/drawing/2014/main" id="{4648D646-0852-4C6C-A5FD-C953E932BD3A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3" name="$B$2">
            <a:extLst>
              <a:ext uri="{FF2B5EF4-FFF2-40B4-BE49-F238E27FC236}">
                <a16:creationId xmlns:a16="http://schemas.microsoft.com/office/drawing/2014/main" id="{DB58157B-B6C0-4A1F-AA7C-1BB62C850881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4" name="$B$2">
            <a:extLst>
              <a:ext uri="{FF2B5EF4-FFF2-40B4-BE49-F238E27FC236}">
                <a16:creationId xmlns:a16="http://schemas.microsoft.com/office/drawing/2014/main" id="{DD1263A9-399E-45A8-B841-BAEA332586AF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5" name="$B$2">
            <a:extLst>
              <a:ext uri="{FF2B5EF4-FFF2-40B4-BE49-F238E27FC236}">
                <a16:creationId xmlns:a16="http://schemas.microsoft.com/office/drawing/2014/main" id="{5FED1458-30DE-4B50-8403-D39F010298EB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6" name="$B$2">
            <a:extLst>
              <a:ext uri="{FF2B5EF4-FFF2-40B4-BE49-F238E27FC236}">
                <a16:creationId xmlns:a16="http://schemas.microsoft.com/office/drawing/2014/main" id="{B968B2D0-721E-4845-B2C0-EAAB4088F3B0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7" name="$B$2">
            <a:extLst>
              <a:ext uri="{FF2B5EF4-FFF2-40B4-BE49-F238E27FC236}">
                <a16:creationId xmlns:a16="http://schemas.microsoft.com/office/drawing/2014/main" id="{736D3BA0-8052-4F8F-AA1B-C531B6DF0B27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8" name="$B$2">
            <a:extLst>
              <a:ext uri="{FF2B5EF4-FFF2-40B4-BE49-F238E27FC236}">
                <a16:creationId xmlns:a16="http://schemas.microsoft.com/office/drawing/2014/main" id="{E7D6263C-33A9-4F13-8A96-2148AD66866E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9" name="$B$2">
            <a:extLst>
              <a:ext uri="{FF2B5EF4-FFF2-40B4-BE49-F238E27FC236}">
                <a16:creationId xmlns:a16="http://schemas.microsoft.com/office/drawing/2014/main" id="{76274647-3497-4E07-9ACC-55E8E2702BC9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0" name="$B$2">
            <a:extLst>
              <a:ext uri="{FF2B5EF4-FFF2-40B4-BE49-F238E27FC236}">
                <a16:creationId xmlns:a16="http://schemas.microsoft.com/office/drawing/2014/main" id="{939080B3-2680-410C-9055-3DE65A147E36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1" name="$B$2">
            <a:extLst>
              <a:ext uri="{FF2B5EF4-FFF2-40B4-BE49-F238E27FC236}">
                <a16:creationId xmlns:a16="http://schemas.microsoft.com/office/drawing/2014/main" id="{D997F006-D646-4B35-B737-5BD3A062410F}"/>
              </a:ext>
            </a:extLst>
          </xdr:cNvPr>
          <xdr:cNvSpPr/>
        </xdr:nvSpPr>
        <xdr:spPr>
          <a:xfrm>
            <a:off x="266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2" name="$B$2">
            <a:extLst>
              <a:ext uri="{FF2B5EF4-FFF2-40B4-BE49-F238E27FC236}">
                <a16:creationId xmlns:a16="http://schemas.microsoft.com/office/drawing/2014/main" id="{FCCDD71C-F4AE-4A68-A1B1-CC092FA26CE1}"/>
              </a:ext>
            </a:extLst>
          </xdr:cNvPr>
          <xdr:cNvSpPr/>
        </xdr:nvSpPr>
        <xdr:spPr>
          <a:xfrm>
            <a:off x="304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3" name="$B$2">
            <a:extLst>
              <a:ext uri="{FF2B5EF4-FFF2-40B4-BE49-F238E27FC236}">
                <a16:creationId xmlns:a16="http://schemas.microsoft.com/office/drawing/2014/main" id="{4C540A71-2986-4191-88C5-261EC01D82DD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4" name="$B$2">
            <a:extLst>
              <a:ext uri="{FF2B5EF4-FFF2-40B4-BE49-F238E27FC236}">
                <a16:creationId xmlns:a16="http://schemas.microsoft.com/office/drawing/2014/main" id="{FB7C7D4A-9AB8-486F-97D8-156734525261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5" name="$B$2">
            <a:extLst>
              <a:ext uri="{FF2B5EF4-FFF2-40B4-BE49-F238E27FC236}">
                <a16:creationId xmlns:a16="http://schemas.microsoft.com/office/drawing/2014/main" id="{01B8D112-B940-417A-9938-AEEEF97085D3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6" name="$B$2">
            <a:extLst>
              <a:ext uri="{FF2B5EF4-FFF2-40B4-BE49-F238E27FC236}">
                <a16:creationId xmlns:a16="http://schemas.microsoft.com/office/drawing/2014/main" id="{E00BE216-42AA-4A84-940B-687CEA23D21C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7" name="$B$2">
            <a:extLst>
              <a:ext uri="{FF2B5EF4-FFF2-40B4-BE49-F238E27FC236}">
                <a16:creationId xmlns:a16="http://schemas.microsoft.com/office/drawing/2014/main" id="{40EBC060-13CA-4717-ADF6-FCB4AB9EDD99}"/>
              </a:ext>
            </a:extLst>
          </xdr:cNvPr>
          <xdr:cNvSpPr/>
        </xdr:nvSpPr>
        <xdr:spPr>
          <a:xfrm>
            <a:off x="457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8" name="$B$2">
            <a:extLst>
              <a:ext uri="{FF2B5EF4-FFF2-40B4-BE49-F238E27FC236}">
                <a16:creationId xmlns:a16="http://schemas.microsoft.com/office/drawing/2014/main" id="{78868C3E-2679-4D66-B099-311830B575EB}"/>
              </a:ext>
            </a:extLst>
          </xdr:cNvPr>
          <xdr:cNvSpPr/>
        </xdr:nvSpPr>
        <xdr:spPr>
          <a:xfrm>
            <a:off x="469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9" name="$B$2">
            <a:extLst>
              <a:ext uri="{FF2B5EF4-FFF2-40B4-BE49-F238E27FC236}">
                <a16:creationId xmlns:a16="http://schemas.microsoft.com/office/drawing/2014/main" id="{55CD9BD4-9BBD-49BB-95C8-BB6D12EB7E49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0" name="$B$2">
            <a:extLst>
              <a:ext uri="{FF2B5EF4-FFF2-40B4-BE49-F238E27FC236}">
                <a16:creationId xmlns:a16="http://schemas.microsoft.com/office/drawing/2014/main" id="{995E4BC4-C4A8-4F23-9DDF-F9C273BC3584}"/>
              </a:ext>
            </a:extLst>
          </xdr:cNvPr>
          <xdr:cNvSpPr/>
        </xdr:nvSpPr>
        <xdr:spPr>
          <a:xfrm>
            <a:off x="584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1" name="$B$2">
            <a:extLst>
              <a:ext uri="{FF2B5EF4-FFF2-40B4-BE49-F238E27FC236}">
                <a16:creationId xmlns:a16="http://schemas.microsoft.com/office/drawing/2014/main" id="{D7B33908-EAEC-44CA-83C3-F197DDDFBCA5}"/>
              </a:ext>
            </a:extLst>
          </xdr:cNvPr>
          <xdr:cNvSpPr/>
        </xdr:nvSpPr>
        <xdr:spPr>
          <a:xfrm>
            <a:off x="596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2" name="$B$2">
            <a:extLst>
              <a:ext uri="{FF2B5EF4-FFF2-40B4-BE49-F238E27FC236}">
                <a16:creationId xmlns:a16="http://schemas.microsoft.com/office/drawing/2014/main" id="{6AB1C647-5F18-42BC-977F-A43DDA31AA9C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3" name="$B$2">
            <a:extLst>
              <a:ext uri="{FF2B5EF4-FFF2-40B4-BE49-F238E27FC236}">
                <a16:creationId xmlns:a16="http://schemas.microsoft.com/office/drawing/2014/main" id="{2B274C5A-3AFB-4D71-A8D1-9439B9A8CBA9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4" name="$B$2">
            <a:extLst>
              <a:ext uri="{FF2B5EF4-FFF2-40B4-BE49-F238E27FC236}">
                <a16:creationId xmlns:a16="http://schemas.microsoft.com/office/drawing/2014/main" id="{73E10A06-ECFF-426D-9D18-934A54052194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5" name="$B$2">
            <a:extLst>
              <a:ext uri="{FF2B5EF4-FFF2-40B4-BE49-F238E27FC236}">
                <a16:creationId xmlns:a16="http://schemas.microsoft.com/office/drawing/2014/main" id="{B574B2F7-66C3-4C45-B1AC-83DAA764480F}"/>
              </a:ext>
            </a:extLst>
          </xdr:cNvPr>
          <xdr:cNvSpPr/>
        </xdr:nvSpPr>
        <xdr:spPr>
          <a:xfrm>
            <a:off x="698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6" name="$B$2">
            <a:extLst>
              <a:ext uri="{FF2B5EF4-FFF2-40B4-BE49-F238E27FC236}">
                <a16:creationId xmlns:a16="http://schemas.microsoft.com/office/drawing/2014/main" id="{A6B6A7D2-D6E8-480E-B2C0-BD88DFE315EE}"/>
              </a:ext>
            </a:extLst>
          </xdr:cNvPr>
          <xdr:cNvSpPr/>
        </xdr:nvSpPr>
        <xdr:spPr>
          <a:xfrm>
            <a:off x="736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7" name="$B$2">
            <a:extLst>
              <a:ext uri="{FF2B5EF4-FFF2-40B4-BE49-F238E27FC236}">
                <a16:creationId xmlns:a16="http://schemas.microsoft.com/office/drawing/2014/main" id="{2A9FD55E-F868-4E7F-9543-CAAA95D34901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8" name="$B$2">
            <a:extLst>
              <a:ext uri="{FF2B5EF4-FFF2-40B4-BE49-F238E27FC236}">
                <a16:creationId xmlns:a16="http://schemas.microsoft.com/office/drawing/2014/main" id="{B50718AC-3A59-4CEA-98E4-70BA6890A53E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9" name="$B$2">
            <a:extLst>
              <a:ext uri="{FF2B5EF4-FFF2-40B4-BE49-F238E27FC236}">
                <a16:creationId xmlns:a16="http://schemas.microsoft.com/office/drawing/2014/main" id="{7F179F26-5823-4876-B25C-A07C97CDBEAE}"/>
              </a:ext>
            </a:extLst>
          </xdr:cNvPr>
          <xdr:cNvSpPr/>
        </xdr:nvSpPr>
        <xdr:spPr>
          <a:xfrm>
            <a:off x="800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0" name="$B$2">
            <a:extLst>
              <a:ext uri="{FF2B5EF4-FFF2-40B4-BE49-F238E27FC236}">
                <a16:creationId xmlns:a16="http://schemas.microsoft.com/office/drawing/2014/main" id="{B4906689-612B-4A4D-BBC7-8C4B47DDB619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1" name="$B$2">
            <a:extLst>
              <a:ext uri="{FF2B5EF4-FFF2-40B4-BE49-F238E27FC236}">
                <a16:creationId xmlns:a16="http://schemas.microsoft.com/office/drawing/2014/main" id="{B6BE5CC5-D220-458A-8519-122D351AA190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2" name="$B$2">
            <a:extLst>
              <a:ext uri="{FF2B5EF4-FFF2-40B4-BE49-F238E27FC236}">
                <a16:creationId xmlns:a16="http://schemas.microsoft.com/office/drawing/2014/main" id="{05D66B2A-2B60-411F-83EF-B52043B198CD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3" name="$B$2">
            <a:extLst>
              <a:ext uri="{FF2B5EF4-FFF2-40B4-BE49-F238E27FC236}">
                <a16:creationId xmlns:a16="http://schemas.microsoft.com/office/drawing/2014/main" id="{D7956674-76BF-4994-8F18-F972CEFAB0C0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4" name="$B$2">
            <a:extLst>
              <a:ext uri="{FF2B5EF4-FFF2-40B4-BE49-F238E27FC236}">
                <a16:creationId xmlns:a16="http://schemas.microsoft.com/office/drawing/2014/main" id="{53562CAB-56DC-414E-B615-3510730A9290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5" name="$B$2">
            <a:extLst>
              <a:ext uri="{FF2B5EF4-FFF2-40B4-BE49-F238E27FC236}">
                <a16:creationId xmlns:a16="http://schemas.microsoft.com/office/drawing/2014/main" id="{B690BECE-2091-4203-A28C-C03B383B5E11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6" name="$B$2">
            <a:extLst>
              <a:ext uri="{FF2B5EF4-FFF2-40B4-BE49-F238E27FC236}">
                <a16:creationId xmlns:a16="http://schemas.microsoft.com/office/drawing/2014/main" id="{1BF3F4E0-C950-487A-A93C-6A09AEE7FA50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7" name="$B$2">
            <a:extLst>
              <a:ext uri="{FF2B5EF4-FFF2-40B4-BE49-F238E27FC236}">
                <a16:creationId xmlns:a16="http://schemas.microsoft.com/office/drawing/2014/main" id="{635A9FC5-4C3F-4CD9-8806-98D626064728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8" name="$B$2">
            <a:extLst>
              <a:ext uri="{FF2B5EF4-FFF2-40B4-BE49-F238E27FC236}">
                <a16:creationId xmlns:a16="http://schemas.microsoft.com/office/drawing/2014/main" id="{C33DB169-848F-4ECD-A1D0-61AD55A0A7B5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9" name="$B$2">
            <a:extLst>
              <a:ext uri="{FF2B5EF4-FFF2-40B4-BE49-F238E27FC236}">
                <a16:creationId xmlns:a16="http://schemas.microsoft.com/office/drawing/2014/main" id="{43D60F1D-0688-46F8-A7E8-7145B1FEEAD9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0" name="$B$2">
            <a:extLst>
              <a:ext uri="{FF2B5EF4-FFF2-40B4-BE49-F238E27FC236}">
                <a16:creationId xmlns:a16="http://schemas.microsoft.com/office/drawing/2014/main" id="{6AF2965F-79E1-49CD-9645-3DD111BBB0DC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1" name="$B$2">
            <a:extLst>
              <a:ext uri="{FF2B5EF4-FFF2-40B4-BE49-F238E27FC236}">
                <a16:creationId xmlns:a16="http://schemas.microsoft.com/office/drawing/2014/main" id="{DD412CAA-076A-4172-9B74-994D036565BD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2" name="$B$2">
            <a:extLst>
              <a:ext uri="{FF2B5EF4-FFF2-40B4-BE49-F238E27FC236}">
                <a16:creationId xmlns:a16="http://schemas.microsoft.com/office/drawing/2014/main" id="{237602AE-8C0F-4366-9368-E1187247D5B6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3" name="$B$2">
            <a:extLst>
              <a:ext uri="{FF2B5EF4-FFF2-40B4-BE49-F238E27FC236}">
                <a16:creationId xmlns:a16="http://schemas.microsoft.com/office/drawing/2014/main" id="{198CABF0-A5BA-4328-A4DF-DF9141DB95D6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4" name="$B$2">
            <a:extLst>
              <a:ext uri="{FF2B5EF4-FFF2-40B4-BE49-F238E27FC236}">
                <a16:creationId xmlns:a16="http://schemas.microsoft.com/office/drawing/2014/main" id="{7CD7E4EE-F38D-4CA3-88F7-AE7F2E417AA0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5" name="$B$2">
            <a:extLst>
              <a:ext uri="{FF2B5EF4-FFF2-40B4-BE49-F238E27FC236}">
                <a16:creationId xmlns:a16="http://schemas.microsoft.com/office/drawing/2014/main" id="{624B211E-E025-406A-AAD0-F179F3D0FDF3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6" name="$B$2">
            <a:extLst>
              <a:ext uri="{FF2B5EF4-FFF2-40B4-BE49-F238E27FC236}">
                <a16:creationId xmlns:a16="http://schemas.microsoft.com/office/drawing/2014/main" id="{6656FEF4-BC24-4658-AE4D-229334874688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7" name="$B$2">
            <a:extLst>
              <a:ext uri="{FF2B5EF4-FFF2-40B4-BE49-F238E27FC236}">
                <a16:creationId xmlns:a16="http://schemas.microsoft.com/office/drawing/2014/main" id="{F3D73767-A993-4D52-8E5E-32CA61BA5CF5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8" name="$B$2">
            <a:extLst>
              <a:ext uri="{FF2B5EF4-FFF2-40B4-BE49-F238E27FC236}">
                <a16:creationId xmlns:a16="http://schemas.microsoft.com/office/drawing/2014/main" id="{25CA6EA2-A2AF-4AA3-A67F-8C36E7A6DBD1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9" name="$B$2">
            <a:extLst>
              <a:ext uri="{FF2B5EF4-FFF2-40B4-BE49-F238E27FC236}">
                <a16:creationId xmlns:a16="http://schemas.microsoft.com/office/drawing/2014/main" id="{04F55CA3-63A7-4652-957D-389F8C0745BF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0" name="$B$2">
            <a:extLst>
              <a:ext uri="{FF2B5EF4-FFF2-40B4-BE49-F238E27FC236}">
                <a16:creationId xmlns:a16="http://schemas.microsoft.com/office/drawing/2014/main" id="{6124C754-5822-48F7-99BC-15C1E9C16296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1" name="$B$2">
            <a:extLst>
              <a:ext uri="{FF2B5EF4-FFF2-40B4-BE49-F238E27FC236}">
                <a16:creationId xmlns:a16="http://schemas.microsoft.com/office/drawing/2014/main" id="{5B370609-ABF9-4B7F-AEC4-3BDBF442EA65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2" name="$B$2">
            <a:extLst>
              <a:ext uri="{FF2B5EF4-FFF2-40B4-BE49-F238E27FC236}">
                <a16:creationId xmlns:a16="http://schemas.microsoft.com/office/drawing/2014/main" id="{A0EAB8C9-1428-408A-BB50-B6F8BC3A611C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3" name="$B$2">
            <a:extLst>
              <a:ext uri="{FF2B5EF4-FFF2-40B4-BE49-F238E27FC236}">
                <a16:creationId xmlns:a16="http://schemas.microsoft.com/office/drawing/2014/main" id="{5ABA1C1B-2108-426A-A6B9-0149A7BEFFD6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4" name="$B$2">
            <a:extLst>
              <a:ext uri="{FF2B5EF4-FFF2-40B4-BE49-F238E27FC236}">
                <a16:creationId xmlns:a16="http://schemas.microsoft.com/office/drawing/2014/main" id="{D3D251C2-D364-40A2-9604-47F48CD0239A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5" name="$B$2">
            <a:extLst>
              <a:ext uri="{FF2B5EF4-FFF2-40B4-BE49-F238E27FC236}">
                <a16:creationId xmlns:a16="http://schemas.microsoft.com/office/drawing/2014/main" id="{C1BE5F61-FFA3-47B6-A8D3-DBBE8EE15695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6" name="$B$2">
            <a:extLst>
              <a:ext uri="{FF2B5EF4-FFF2-40B4-BE49-F238E27FC236}">
                <a16:creationId xmlns:a16="http://schemas.microsoft.com/office/drawing/2014/main" id="{0ECD24F7-91AB-43F5-91D4-E2298F8298DD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7" name="$B$2">
            <a:extLst>
              <a:ext uri="{FF2B5EF4-FFF2-40B4-BE49-F238E27FC236}">
                <a16:creationId xmlns:a16="http://schemas.microsoft.com/office/drawing/2014/main" id="{378AFDB3-007F-491E-962A-BFC567568B08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8" name="$B$2">
            <a:extLst>
              <a:ext uri="{FF2B5EF4-FFF2-40B4-BE49-F238E27FC236}">
                <a16:creationId xmlns:a16="http://schemas.microsoft.com/office/drawing/2014/main" id="{9F142227-8F76-420D-919C-645A4DF14576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9" name="$B$2">
            <a:extLst>
              <a:ext uri="{FF2B5EF4-FFF2-40B4-BE49-F238E27FC236}">
                <a16:creationId xmlns:a16="http://schemas.microsoft.com/office/drawing/2014/main" id="{53F34528-ABB2-4A91-A7E6-6F07657DE891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0" name="$B$2">
            <a:extLst>
              <a:ext uri="{FF2B5EF4-FFF2-40B4-BE49-F238E27FC236}">
                <a16:creationId xmlns:a16="http://schemas.microsoft.com/office/drawing/2014/main" id="{6A12A413-7ED9-4F05-B005-4A196B27B894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1" name="$B$2">
            <a:extLst>
              <a:ext uri="{FF2B5EF4-FFF2-40B4-BE49-F238E27FC236}">
                <a16:creationId xmlns:a16="http://schemas.microsoft.com/office/drawing/2014/main" id="{9E5D7E36-BE1F-417D-8439-AF4290481413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2" name="$B$2">
            <a:extLst>
              <a:ext uri="{FF2B5EF4-FFF2-40B4-BE49-F238E27FC236}">
                <a16:creationId xmlns:a16="http://schemas.microsoft.com/office/drawing/2014/main" id="{308ADE3D-55AE-4B7D-856F-437E910667D7}"/>
              </a:ext>
            </a:extLst>
          </xdr:cNvPr>
          <xdr:cNvSpPr/>
        </xdr:nvSpPr>
        <xdr:spPr>
          <a:xfrm>
            <a:off x="457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3" name="$B$2">
            <a:extLst>
              <a:ext uri="{FF2B5EF4-FFF2-40B4-BE49-F238E27FC236}">
                <a16:creationId xmlns:a16="http://schemas.microsoft.com/office/drawing/2014/main" id="{74B708FA-9994-4F93-9AAB-7FABD666B481}"/>
              </a:ext>
            </a:extLst>
          </xdr:cNvPr>
          <xdr:cNvSpPr/>
        </xdr:nvSpPr>
        <xdr:spPr>
          <a:xfrm>
            <a:off x="469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4" name="$B$2">
            <a:extLst>
              <a:ext uri="{FF2B5EF4-FFF2-40B4-BE49-F238E27FC236}">
                <a16:creationId xmlns:a16="http://schemas.microsoft.com/office/drawing/2014/main" id="{5FD6A868-7D43-41A1-95EA-9FD2D4EE5B9A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5" name="$B$2">
            <a:extLst>
              <a:ext uri="{FF2B5EF4-FFF2-40B4-BE49-F238E27FC236}">
                <a16:creationId xmlns:a16="http://schemas.microsoft.com/office/drawing/2014/main" id="{4D7B4B04-A46C-41F7-9092-5639BEBB5A19}"/>
              </a:ext>
            </a:extLst>
          </xdr:cNvPr>
          <xdr:cNvSpPr/>
        </xdr:nvSpPr>
        <xdr:spPr>
          <a:xfrm>
            <a:off x="546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6" name="$B$2">
            <a:extLst>
              <a:ext uri="{FF2B5EF4-FFF2-40B4-BE49-F238E27FC236}">
                <a16:creationId xmlns:a16="http://schemas.microsoft.com/office/drawing/2014/main" id="{D4A0CF7C-5416-48A4-B64F-FEC505C5706E}"/>
              </a:ext>
            </a:extLst>
          </xdr:cNvPr>
          <xdr:cNvSpPr/>
        </xdr:nvSpPr>
        <xdr:spPr>
          <a:xfrm>
            <a:off x="571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7" name="$B$2">
            <a:extLst>
              <a:ext uri="{FF2B5EF4-FFF2-40B4-BE49-F238E27FC236}">
                <a16:creationId xmlns:a16="http://schemas.microsoft.com/office/drawing/2014/main" id="{022FF157-E341-4F54-B35C-91004A15C70A}"/>
              </a:ext>
            </a:extLst>
          </xdr:cNvPr>
          <xdr:cNvSpPr/>
        </xdr:nvSpPr>
        <xdr:spPr>
          <a:xfrm>
            <a:off x="584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8" name="$B$2">
            <a:extLst>
              <a:ext uri="{FF2B5EF4-FFF2-40B4-BE49-F238E27FC236}">
                <a16:creationId xmlns:a16="http://schemas.microsoft.com/office/drawing/2014/main" id="{EC1EAAE9-46BC-4833-A3F0-DBC47BADC463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9" name="$B$2">
            <a:extLst>
              <a:ext uri="{FF2B5EF4-FFF2-40B4-BE49-F238E27FC236}">
                <a16:creationId xmlns:a16="http://schemas.microsoft.com/office/drawing/2014/main" id="{A3A00BFA-7A95-4EBD-85CB-185E4AE22567}"/>
              </a:ext>
            </a:extLst>
          </xdr:cNvPr>
          <xdr:cNvSpPr/>
        </xdr:nvSpPr>
        <xdr:spPr>
          <a:xfrm>
            <a:off x="609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0" name="$B$2">
            <a:extLst>
              <a:ext uri="{FF2B5EF4-FFF2-40B4-BE49-F238E27FC236}">
                <a16:creationId xmlns:a16="http://schemas.microsoft.com/office/drawing/2014/main" id="{D25F937E-1A5B-4393-AE6A-0BFEFB924B2C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1" name="$B$2">
            <a:extLst>
              <a:ext uri="{FF2B5EF4-FFF2-40B4-BE49-F238E27FC236}">
                <a16:creationId xmlns:a16="http://schemas.microsoft.com/office/drawing/2014/main" id="{AC0DF5C6-E950-4934-8DFF-526F98FF54D2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2" name="$B$2">
            <a:extLst>
              <a:ext uri="{FF2B5EF4-FFF2-40B4-BE49-F238E27FC236}">
                <a16:creationId xmlns:a16="http://schemas.microsoft.com/office/drawing/2014/main" id="{38BCAA99-D3C1-4826-ABAF-97A8ED3BF28C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3" name="$B$2">
            <a:extLst>
              <a:ext uri="{FF2B5EF4-FFF2-40B4-BE49-F238E27FC236}">
                <a16:creationId xmlns:a16="http://schemas.microsoft.com/office/drawing/2014/main" id="{02B192DF-6511-421D-AA42-7460541C2F57}"/>
              </a:ext>
            </a:extLst>
          </xdr:cNvPr>
          <xdr:cNvSpPr/>
        </xdr:nvSpPr>
        <xdr:spPr>
          <a:xfrm>
            <a:off x="685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4" name="$B$2">
            <a:extLst>
              <a:ext uri="{FF2B5EF4-FFF2-40B4-BE49-F238E27FC236}">
                <a16:creationId xmlns:a16="http://schemas.microsoft.com/office/drawing/2014/main" id="{A8A68D8D-946F-4120-A69B-9BD1AB7BE42C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5" name="$B$2">
            <a:extLst>
              <a:ext uri="{FF2B5EF4-FFF2-40B4-BE49-F238E27FC236}">
                <a16:creationId xmlns:a16="http://schemas.microsoft.com/office/drawing/2014/main" id="{EB1517BF-E9E1-462E-BA0D-3D9545259904}"/>
              </a:ext>
            </a:extLst>
          </xdr:cNvPr>
          <xdr:cNvSpPr/>
        </xdr:nvSpPr>
        <xdr:spPr>
          <a:xfrm>
            <a:off x="711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6" name="$B$2">
            <a:extLst>
              <a:ext uri="{FF2B5EF4-FFF2-40B4-BE49-F238E27FC236}">
                <a16:creationId xmlns:a16="http://schemas.microsoft.com/office/drawing/2014/main" id="{77613B11-35E3-4467-AB1F-D672E0945D48}"/>
              </a:ext>
            </a:extLst>
          </xdr:cNvPr>
          <xdr:cNvSpPr/>
        </xdr:nvSpPr>
        <xdr:spPr>
          <a:xfrm>
            <a:off x="723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7" name="$B$2">
            <a:extLst>
              <a:ext uri="{FF2B5EF4-FFF2-40B4-BE49-F238E27FC236}">
                <a16:creationId xmlns:a16="http://schemas.microsoft.com/office/drawing/2014/main" id="{ABF392B6-EDEB-4E57-8842-0EBC4F82AFDB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8" name="$B$2">
            <a:extLst>
              <a:ext uri="{FF2B5EF4-FFF2-40B4-BE49-F238E27FC236}">
                <a16:creationId xmlns:a16="http://schemas.microsoft.com/office/drawing/2014/main" id="{937A64A6-51F6-48E8-87B6-7F36C8CE2EB4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9" name="$B$2">
            <a:extLst>
              <a:ext uri="{FF2B5EF4-FFF2-40B4-BE49-F238E27FC236}">
                <a16:creationId xmlns:a16="http://schemas.microsoft.com/office/drawing/2014/main" id="{3FFB2D49-DA81-4207-9FA2-DD32FF02C3B1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0" name="$B$2">
            <a:extLst>
              <a:ext uri="{FF2B5EF4-FFF2-40B4-BE49-F238E27FC236}">
                <a16:creationId xmlns:a16="http://schemas.microsoft.com/office/drawing/2014/main" id="{690966A6-5238-4473-A08D-120D7FC0CEA9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1" name="$B$2">
            <a:extLst>
              <a:ext uri="{FF2B5EF4-FFF2-40B4-BE49-F238E27FC236}">
                <a16:creationId xmlns:a16="http://schemas.microsoft.com/office/drawing/2014/main" id="{CF93AA2F-6916-4A56-91A5-9E3FE5FD9C82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2" name="$B$2">
            <a:extLst>
              <a:ext uri="{FF2B5EF4-FFF2-40B4-BE49-F238E27FC236}">
                <a16:creationId xmlns:a16="http://schemas.microsoft.com/office/drawing/2014/main" id="{14A09D56-FB1F-41BD-A5EF-A6AE03780F39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3" name="$B$2">
            <a:extLst>
              <a:ext uri="{FF2B5EF4-FFF2-40B4-BE49-F238E27FC236}">
                <a16:creationId xmlns:a16="http://schemas.microsoft.com/office/drawing/2014/main" id="{D91C8BDC-5407-4856-AC9F-486AB0BB49FF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4" name="$B$2">
            <a:extLst>
              <a:ext uri="{FF2B5EF4-FFF2-40B4-BE49-F238E27FC236}">
                <a16:creationId xmlns:a16="http://schemas.microsoft.com/office/drawing/2014/main" id="{E56512F3-14B7-4A45-BFD8-FC6569551598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5" name="$B$2">
            <a:extLst>
              <a:ext uri="{FF2B5EF4-FFF2-40B4-BE49-F238E27FC236}">
                <a16:creationId xmlns:a16="http://schemas.microsoft.com/office/drawing/2014/main" id="{C665ACF4-B4B9-4BDF-8C23-4EB5B0B9D6B4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6" name="$B$2">
            <a:extLst>
              <a:ext uri="{FF2B5EF4-FFF2-40B4-BE49-F238E27FC236}">
                <a16:creationId xmlns:a16="http://schemas.microsoft.com/office/drawing/2014/main" id="{995898BF-262F-4547-972A-C2FD80BAD19D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7" name="$B$2">
            <a:extLst>
              <a:ext uri="{FF2B5EF4-FFF2-40B4-BE49-F238E27FC236}">
                <a16:creationId xmlns:a16="http://schemas.microsoft.com/office/drawing/2014/main" id="{2811B35B-9601-4753-A2FB-5A519D16CFB1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8" name="$B$2">
            <a:extLst>
              <a:ext uri="{FF2B5EF4-FFF2-40B4-BE49-F238E27FC236}">
                <a16:creationId xmlns:a16="http://schemas.microsoft.com/office/drawing/2014/main" id="{0D6B088B-600E-40D6-8957-60FA9B6034F9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9" name="$B$2">
            <a:extLst>
              <a:ext uri="{FF2B5EF4-FFF2-40B4-BE49-F238E27FC236}">
                <a16:creationId xmlns:a16="http://schemas.microsoft.com/office/drawing/2014/main" id="{E8613752-B25A-4E6C-B802-760692B38EDD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0" name="$B$2">
            <a:extLst>
              <a:ext uri="{FF2B5EF4-FFF2-40B4-BE49-F238E27FC236}">
                <a16:creationId xmlns:a16="http://schemas.microsoft.com/office/drawing/2014/main" id="{9D151FCE-41A0-49D2-B72F-E41AE9A846B1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1" name="$B$2">
            <a:extLst>
              <a:ext uri="{FF2B5EF4-FFF2-40B4-BE49-F238E27FC236}">
                <a16:creationId xmlns:a16="http://schemas.microsoft.com/office/drawing/2014/main" id="{2C980D4D-F5EC-4EA7-9621-1A702AFA2954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1</xdr:row>
      <xdr:rowOff>123190</xdr:rowOff>
    </xdr:from>
    <xdr:to>
      <xdr:col>3</xdr:col>
      <xdr:colOff>1377950</xdr:colOff>
      <xdr:row>1</xdr:row>
      <xdr:rowOff>1316990</xdr:rowOff>
    </xdr:to>
    <xdr:grpSp>
      <xdr:nvGrpSpPr>
        <xdr:cNvPr id="39622" name="$D$2" descr="DataMatrix barcode, 12x12 cells" title="test">
          <a:extLst>
            <a:ext uri="{FF2B5EF4-FFF2-40B4-BE49-F238E27FC236}">
              <a16:creationId xmlns:a16="http://schemas.microsoft.com/office/drawing/2014/main" id="{C997754B-37F7-450F-AA8E-4290EAF7DCC8}"/>
            </a:ext>
          </a:extLst>
        </xdr:cNvPr>
        <xdr:cNvGrpSpPr>
          <a:grpSpLocks noChangeAspect="1"/>
        </xdr:cNvGrpSpPr>
      </xdr:nvGrpSpPr>
      <xdr:grpSpPr>
        <a:xfrm>
          <a:off x="4634230" y="1548130"/>
          <a:ext cx="1193800" cy="1193800"/>
          <a:chOff x="0" y="0"/>
          <a:chExt cx="152400" cy="152400"/>
        </a:xfrm>
      </xdr:grpSpPr>
      <xdr:sp macro="" textlink="">
        <xdr:nvSpPr>
          <xdr:cNvPr id="39543" name="$D$2">
            <a:extLst>
              <a:ext uri="{FF2B5EF4-FFF2-40B4-BE49-F238E27FC236}">
                <a16:creationId xmlns:a16="http://schemas.microsoft.com/office/drawing/2014/main" id="{6D7EAB8C-08B8-493E-B2D2-56DAF894F1FE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4" name="$D$2">
            <a:extLst>
              <a:ext uri="{FF2B5EF4-FFF2-40B4-BE49-F238E27FC236}">
                <a16:creationId xmlns:a16="http://schemas.microsoft.com/office/drawing/2014/main" id="{9430504F-9996-4F15-A3B1-D76CD1ADB2A7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5" name="$D$2">
            <a:extLst>
              <a:ext uri="{FF2B5EF4-FFF2-40B4-BE49-F238E27FC236}">
                <a16:creationId xmlns:a16="http://schemas.microsoft.com/office/drawing/2014/main" id="{96BEDCEE-B7D6-4227-BE12-F0AEBA0B5EC5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6" name="$D$2">
            <a:extLst>
              <a:ext uri="{FF2B5EF4-FFF2-40B4-BE49-F238E27FC236}">
                <a16:creationId xmlns:a16="http://schemas.microsoft.com/office/drawing/2014/main" id="{C7F727EE-0BDD-4A89-B73A-2793579BC5D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7" name="$D$2">
            <a:extLst>
              <a:ext uri="{FF2B5EF4-FFF2-40B4-BE49-F238E27FC236}">
                <a16:creationId xmlns:a16="http://schemas.microsoft.com/office/drawing/2014/main" id="{AEC50BF2-ADEB-48FD-BC07-6E614F749088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8" name="$D$2">
            <a:extLst>
              <a:ext uri="{FF2B5EF4-FFF2-40B4-BE49-F238E27FC236}">
                <a16:creationId xmlns:a16="http://schemas.microsoft.com/office/drawing/2014/main" id="{DEEC66D8-A3C2-428E-888F-487D17347557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9" name="$D$2">
            <a:extLst>
              <a:ext uri="{FF2B5EF4-FFF2-40B4-BE49-F238E27FC236}">
                <a16:creationId xmlns:a16="http://schemas.microsoft.com/office/drawing/2014/main" id="{F320A872-768C-4C9C-9FCC-A366A05360D7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0" name="$D$2">
            <a:extLst>
              <a:ext uri="{FF2B5EF4-FFF2-40B4-BE49-F238E27FC236}">
                <a16:creationId xmlns:a16="http://schemas.microsoft.com/office/drawing/2014/main" id="{A591991F-FD1E-41B2-8506-767E462A070D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1" name="$D$2">
            <a:extLst>
              <a:ext uri="{FF2B5EF4-FFF2-40B4-BE49-F238E27FC236}">
                <a16:creationId xmlns:a16="http://schemas.microsoft.com/office/drawing/2014/main" id="{064B0B24-0826-44DE-B3E3-AA04FB1E604C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2" name="$D$2">
            <a:extLst>
              <a:ext uri="{FF2B5EF4-FFF2-40B4-BE49-F238E27FC236}">
                <a16:creationId xmlns:a16="http://schemas.microsoft.com/office/drawing/2014/main" id="{B70F36A1-A7CD-4CFC-8128-C5D64D571466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3" name="$D$2">
            <a:extLst>
              <a:ext uri="{FF2B5EF4-FFF2-40B4-BE49-F238E27FC236}">
                <a16:creationId xmlns:a16="http://schemas.microsoft.com/office/drawing/2014/main" id="{65962867-F8FA-412F-A6A5-9DE5F57FB1B4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4" name="$D$2">
            <a:extLst>
              <a:ext uri="{FF2B5EF4-FFF2-40B4-BE49-F238E27FC236}">
                <a16:creationId xmlns:a16="http://schemas.microsoft.com/office/drawing/2014/main" id="{D8EF41C4-033B-4533-A543-A49B330FA3D8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5" name="$D$2">
            <a:extLst>
              <a:ext uri="{FF2B5EF4-FFF2-40B4-BE49-F238E27FC236}">
                <a16:creationId xmlns:a16="http://schemas.microsoft.com/office/drawing/2014/main" id="{325B69B0-CB9D-42DA-9F16-2042E2DF985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6" name="$D$2">
            <a:extLst>
              <a:ext uri="{FF2B5EF4-FFF2-40B4-BE49-F238E27FC236}">
                <a16:creationId xmlns:a16="http://schemas.microsoft.com/office/drawing/2014/main" id="{DB41B9D1-EB9B-4E87-A2EC-D5DA817071D7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7" name="$D$2">
            <a:extLst>
              <a:ext uri="{FF2B5EF4-FFF2-40B4-BE49-F238E27FC236}">
                <a16:creationId xmlns:a16="http://schemas.microsoft.com/office/drawing/2014/main" id="{54EB97B3-EEBF-49E4-A3F3-247D0B81A58C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8" name="$D$2">
            <a:extLst>
              <a:ext uri="{FF2B5EF4-FFF2-40B4-BE49-F238E27FC236}">
                <a16:creationId xmlns:a16="http://schemas.microsoft.com/office/drawing/2014/main" id="{C9864448-4DEE-4519-8642-24CF7148049F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9" name="$D$2">
            <a:extLst>
              <a:ext uri="{FF2B5EF4-FFF2-40B4-BE49-F238E27FC236}">
                <a16:creationId xmlns:a16="http://schemas.microsoft.com/office/drawing/2014/main" id="{43B03464-E7A8-433D-8E98-104420F834CE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0" name="$D$2">
            <a:extLst>
              <a:ext uri="{FF2B5EF4-FFF2-40B4-BE49-F238E27FC236}">
                <a16:creationId xmlns:a16="http://schemas.microsoft.com/office/drawing/2014/main" id="{D19C7ED1-5A9B-4E3D-BA7E-26A80BE440B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1" name="$D$2">
            <a:extLst>
              <a:ext uri="{FF2B5EF4-FFF2-40B4-BE49-F238E27FC236}">
                <a16:creationId xmlns:a16="http://schemas.microsoft.com/office/drawing/2014/main" id="{A1E7C7A5-59A9-4554-88B8-17945704679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2" name="$D$2">
            <a:extLst>
              <a:ext uri="{FF2B5EF4-FFF2-40B4-BE49-F238E27FC236}">
                <a16:creationId xmlns:a16="http://schemas.microsoft.com/office/drawing/2014/main" id="{4425A941-4914-46F7-918D-A741C2E2756B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3" name="$D$2">
            <a:extLst>
              <a:ext uri="{FF2B5EF4-FFF2-40B4-BE49-F238E27FC236}">
                <a16:creationId xmlns:a16="http://schemas.microsoft.com/office/drawing/2014/main" id="{216FB183-437C-497B-94A7-C9D748A16AB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4" name="$D$2">
            <a:extLst>
              <a:ext uri="{FF2B5EF4-FFF2-40B4-BE49-F238E27FC236}">
                <a16:creationId xmlns:a16="http://schemas.microsoft.com/office/drawing/2014/main" id="{9081FD48-36B9-4E0C-8886-7447D15AD25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5" name="$D$2">
            <a:extLst>
              <a:ext uri="{FF2B5EF4-FFF2-40B4-BE49-F238E27FC236}">
                <a16:creationId xmlns:a16="http://schemas.microsoft.com/office/drawing/2014/main" id="{C74186A1-70E1-4045-8AC3-BA1EAA085C3D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6" name="$D$2">
            <a:extLst>
              <a:ext uri="{FF2B5EF4-FFF2-40B4-BE49-F238E27FC236}">
                <a16:creationId xmlns:a16="http://schemas.microsoft.com/office/drawing/2014/main" id="{D7B6DC9D-BDA2-412F-B907-73C375EC741B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7" name="$D$2">
            <a:extLst>
              <a:ext uri="{FF2B5EF4-FFF2-40B4-BE49-F238E27FC236}">
                <a16:creationId xmlns:a16="http://schemas.microsoft.com/office/drawing/2014/main" id="{C7DE3CAD-7203-4D64-9650-38E2581A06F3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8" name="$D$2">
            <a:extLst>
              <a:ext uri="{FF2B5EF4-FFF2-40B4-BE49-F238E27FC236}">
                <a16:creationId xmlns:a16="http://schemas.microsoft.com/office/drawing/2014/main" id="{383462EC-C831-4485-A5FF-CB0A4FED0591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9" name="$D$2">
            <a:extLst>
              <a:ext uri="{FF2B5EF4-FFF2-40B4-BE49-F238E27FC236}">
                <a16:creationId xmlns:a16="http://schemas.microsoft.com/office/drawing/2014/main" id="{A43549DC-9655-4602-AC58-CC1F74C0659F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0" name="$D$2">
            <a:extLst>
              <a:ext uri="{FF2B5EF4-FFF2-40B4-BE49-F238E27FC236}">
                <a16:creationId xmlns:a16="http://schemas.microsoft.com/office/drawing/2014/main" id="{8C43B8A7-02F8-4825-9D73-9D6B049981F0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1" name="$D$2">
            <a:extLst>
              <a:ext uri="{FF2B5EF4-FFF2-40B4-BE49-F238E27FC236}">
                <a16:creationId xmlns:a16="http://schemas.microsoft.com/office/drawing/2014/main" id="{B53CEE6B-6D0B-45F8-BCBC-AF12D135FF08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2" name="$D$2">
            <a:extLst>
              <a:ext uri="{FF2B5EF4-FFF2-40B4-BE49-F238E27FC236}">
                <a16:creationId xmlns:a16="http://schemas.microsoft.com/office/drawing/2014/main" id="{FB92483B-7963-47C3-87EA-63228017E71A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3" name="$D$2">
            <a:extLst>
              <a:ext uri="{FF2B5EF4-FFF2-40B4-BE49-F238E27FC236}">
                <a16:creationId xmlns:a16="http://schemas.microsoft.com/office/drawing/2014/main" id="{A55EF98C-CF19-4190-82EE-3BE6698E5BEC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4" name="$D$2">
            <a:extLst>
              <a:ext uri="{FF2B5EF4-FFF2-40B4-BE49-F238E27FC236}">
                <a16:creationId xmlns:a16="http://schemas.microsoft.com/office/drawing/2014/main" id="{F7812379-2EA0-47B7-B701-1A1FF840849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5" name="$D$2">
            <a:extLst>
              <a:ext uri="{FF2B5EF4-FFF2-40B4-BE49-F238E27FC236}">
                <a16:creationId xmlns:a16="http://schemas.microsoft.com/office/drawing/2014/main" id="{10CC1FA6-19A1-492B-8448-CC2D9A369559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6" name="$D$2">
            <a:extLst>
              <a:ext uri="{FF2B5EF4-FFF2-40B4-BE49-F238E27FC236}">
                <a16:creationId xmlns:a16="http://schemas.microsoft.com/office/drawing/2014/main" id="{828BB943-1A21-4DBF-9F2B-4D956500639F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7" name="$D$2">
            <a:extLst>
              <a:ext uri="{FF2B5EF4-FFF2-40B4-BE49-F238E27FC236}">
                <a16:creationId xmlns:a16="http://schemas.microsoft.com/office/drawing/2014/main" id="{84E4CD7A-CB14-4147-A639-174719ED8151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8" name="$D$2">
            <a:extLst>
              <a:ext uri="{FF2B5EF4-FFF2-40B4-BE49-F238E27FC236}">
                <a16:creationId xmlns:a16="http://schemas.microsoft.com/office/drawing/2014/main" id="{3BA3AC9E-9C38-4FE1-98AF-551B19789538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9" name="$D$2">
            <a:extLst>
              <a:ext uri="{FF2B5EF4-FFF2-40B4-BE49-F238E27FC236}">
                <a16:creationId xmlns:a16="http://schemas.microsoft.com/office/drawing/2014/main" id="{70692566-32A5-42A7-B093-40ECF8D46CD1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0" name="$D$2">
            <a:extLst>
              <a:ext uri="{FF2B5EF4-FFF2-40B4-BE49-F238E27FC236}">
                <a16:creationId xmlns:a16="http://schemas.microsoft.com/office/drawing/2014/main" id="{3366C417-EFEB-4059-A3D8-254768B61D19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1" name="$D$2">
            <a:extLst>
              <a:ext uri="{FF2B5EF4-FFF2-40B4-BE49-F238E27FC236}">
                <a16:creationId xmlns:a16="http://schemas.microsoft.com/office/drawing/2014/main" id="{57A7AE70-776B-460F-B90A-13B8140B62C1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2" name="$D$2">
            <a:extLst>
              <a:ext uri="{FF2B5EF4-FFF2-40B4-BE49-F238E27FC236}">
                <a16:creationId xmlns:a16="http://schemas.microsoft.com/office/drawing/2014/main" id="{6B00F3FC-842B-4BD3-9DF1-CE6908FDEC8F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3" name="$D$2">
            <a:extLst>
              <a:ext uri="{FF2B5EF4-FFF2-40B4-BE49-F238E27FC236}">
                <a16:creationId xmlns:a16="http://schemas.microsoft.com/office/drawing/2014/main" id="{CBEC9420-30EF-4B80-89DC-9B3708D95E6E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4" name="$D$2">
            <a:extLst>
              <a:ext uri="{FF2B5EF4-FFF2-40B4-BE49-F238E27FC236}">
                <a16:creationId xmlns:a16="http://schemas.microsoft.com/office/drawing/2014/main" id="{01B2B111-7097-4815-AEE4-5A0879B0E615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5" name="$D$2">
            <a:extLst>
              <a:ext uri="{FF2B5EF4-FFF2-40B4-BE49-F238E27FC236}">
                <a16:creationId xmlns:a16="http://schemas.microsoft.com/office/drawing/2014/main" id="{DE8E2E8A-B843-40F6-A1F3-0A4183658BD3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6" name="$D$2">
            <a:extLst>
              <a:ext uri="{FF2B5EF4-FFF2-40B4-BE49-F238E27FC236}">
                <a16:creationId xmlns:a16="http://schemas.microsoft.com/office/drawing/2014/main" id="{6AE4577E-7621-448F-B95B-A92AE52CE18B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7" name="$D$2">
            <a:extLst>
              <a:ext uri="{FF2B5EF4-FFF2-40B4-BE49-F238E27FC236}">
                <a16:creationId xmlns:a16="http://schemas.microsoft.com/office/drawing/2014/main" id="{B4EB8B8D-92B6-4C08-8BB1-54A1CDCE5136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8" name="$D$2">
            <a:extLst>
              <a:ext uri="{FF2B5EF4-FFF2-40B4-BE49-F238E27FC236}">
                <a16:creationId xmlns:a16="http://schemas.microsoft.com/office/drawing/2014/main" id="{7327AB9B-8361-4F09-B88F-92A1F5F1273E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9" name="$D$2">
            <a:extLst>
              <a:ext uri="{FF2B5EF4-FFF2-40B4-BE49-F238E27FC236}">
                <a16:creationId xmlns:a16="http://schemas.microsoft.com/office/drawing/2014/main" id="{F1F119CA-DA57-46F1-A72B-F940498BCA3C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0" name="$D$2">
            <a:extLst>
              <a:ext uri="{FF2B5EF4-FFF2-40B4-BE49-F238E27FC236}">
                <a16:creationId xmlns:a16="http://schemas.microsoft.com/office/drawing/2014/main" id="{26EEDDBB-12F8-4ED1-B81B-72EE95DD4F7C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1" name="$D$2">
            <a:extLst>
              <a:ext uri="{FF2B5EF4-FFF2-40B4-BE49-F238E27FC236}">
                <a16:creationId xmlns:a16="http://schemas.microsoft.com/office/drawing/2014/main" id="{E1CA7C99-6DDF-4F8F-9B20-3BAD53A999F8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2" name="$D$2">
            <a:extLst>
              <a:ext uri="{FF2B5EF4-FFF2-40B4-BE49-F238E27FC236}">
                <a16:creationId xmlns:a16="http://schemas.microsoft.com/office/drawing/2014/main" id="{D0B9F89B-32F4-48C0-B8C1-D2F26135CF0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3" name="$D$2">
            <a:extLst>
              <a:ext uri="{FF2B5EF4-FFF2-40B4-BE49-F238E27FC236}">
                <a16:creationId xmlns:a16="http://schemas.microsoft.com/office/drawing/2014/main" id="{75900EEE-4F83-44AC-AD44-667BA2A7C273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4" name="$D$2">
            <a:extLst>
              <a:ext uri="{FF2B5EF4-FFF2-40B4-BE49-F238E27FC236}">
                <a16:creationId xmlns:a16="http://schemas.microsoft.com/office/drawing/2014/main" id="{39FC5F4A-C167-4BAD-8840-8DEA678D92B9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5" name="$D$2">
            <a:extLst>
              <a:ext uri="{FF2B5EF4-FFF2-40B4-BE49-F238E27FC236}">
                <a16:creationId xmlns:a16="http://schemas.microsoft.com/office/drawing/2014/main" id="{188AFD63-93DC-4C66-BD0C-3777B0DD96EC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6" name="$D$2">
            <a:extLst>
              <a:ext uri="{FF2B5EF4-FFF2-40B4-BE49-F238E27FC236}">
                <a16:creationId xmlns:a16="http://schemas.microsoft.com/office/drawing/2014/main" id="{17442C00-B6E2-4843-960B-953489938378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7" name="$D$2">
            <a:extLst>
              <a:ext uri="{FF2B5EF4-FFF2-40B4-BE49-F238E27FC236}">
                <a16:creationId xmlns:a16="http://schemas.microsoft.com/office/drawing/2014/main" id="{E05B8212-ACE2-4180-AEFB-CBA50A7F610C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8" name="$D$2">
            <a:extLst>
              <a:ext uri="{FF2B5EF4-FFF2-40B4-BE49-F238E27FC236}">
                <a16:creationId xmlns:a16="http://schemas.microsoft.com/office/drawing/2014/main" id="{8957A9FC-C0EA-4B0E-8722-268C847460B0}"/>
              </a:ext>
            </a:extLst>
          </xdr:cNvPr>
          <xdr:cNvSpPr/>
        </xdr:nvSpPr>
        <xdr:spPr>
          <a:xfrm>
            <a:off x="50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9" name="$D$2">
            <a:extLst>
              <a:ext uri="{FF2B5EF4-FFF2-40B4-BE49-F238E27FC236}">
                <a16:creationId xmlns:a16="http://schemas.microsoft.com/office/drawing/2014/main" id="{414E8186-4F89-443C-B727-45839F49561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0" name="$D$2">
            <a:extLst>
              <a:ext uri="{FF2B5EF4-FFF2-40B4-BE49-F238E27FC236}">
                <a16:creationId xmlns:a16="http://schemas.microsoft.com/office/drawing/2014/main" id="{A2E03D30-94D4-4C71-BC58-385D4C0D1E04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1" name="$D$2">
            <a:extLst>
              <a:ext uri="{FF2B5EF4-FFF2-40B4-BE49-F238E27FC236}">
                <a16:creationId xmlns:a16="http://schemas.microsoft.com/office/drawing/2014/main" id="{FBE7F953-9DFA-4077-A2BA-9AACB5B13884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2" name="$D$2">
            <a:extLst>
              <a:ext uri="{FF2B5EF4-FFF2-40B4-BE49-F238E27FC236}">
                <a16:creationId xmlns:a16="http://schemas.microsoft.com/office/drawing/2014/main" id="{E911712D-31E5-40E5-829A-5C250A26412D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3" name="$D$2">
            <a:extLst>
              <a:ext uri="{FF2B5EF4-FFF2-40B4-BE49-F238E27FC236}">
                <a16:creationId xmlns:a16="http://schemas.microsoft.com/office/drawing/2014/main" id="{A72D09FC-E349-4B75-BC3A-458C0718194F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4" name="$D$2">
            <a:extLst>
              <a:ext uri="{FF2B5EF4-FFF2-40B4-BE49-F238E27FC236}">
                <a16:creationId xmlns:a16="http://schemas.microsoft.com/office/drawing/2014/main" id="{78B87A0A-6CEF-4F74-A426-26B04F14FD95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5" name="$D$2">
            <a:extLst>
              <a:ext uri="{FF2B5EF4-FFF2-40B4-BE49-F238E27FC236}">
                <a16:creationId xmlns:a16="http://schemas.microsoft.com/office/drawing/2014/main" id="{8D303445-5A73-4EF0-BAAA-6C48E67CB5A1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6" name="$D$2">
            <a:extLst>
              <a:ext uri="{FF2B5EF4-FFF2-40B4-BE49-F238E27FC236}">
                <a16:creationId xmlns:a16="http://schemas.microsoft.com/office/drawing/2014/main" id="{60FAFB8A-6A0C-4B9F-BDA7-D388A5BD5EEB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7" name="$D$2">
            <a:extLst>
              <a:ext uri="{FF2B5EF4-FFF2-40B4-BE49-F238E27FC236}">
                <a16:creationId xmlns:a16="http://schemas.microsoft.com/office/drawing/2014/main" id="{B0CA9794-6B57-4F25-88E6-0091BFFB770B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8" name="$D$2">
            <a:extLst>
              <a:ext uri="{FF2B5EF4-FFF2-40B4-BE49-F238E27FC236}">
                <a16:creationId xmlns:a16="http://schemas.microsoft.com/office/drawing/2014/main" id="{27F9FD52-ED9B-4DAC-B2A9-14F26893D43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9" name="$D$2">
            <a:extLst>
              <a:ext uri="{FF2B5EF4-FFF2-40B4-BE49-F238E27FC236}">
                <a16:creationId xmlns:a16="http://schemas.microsoft.com/office/drawing/2014/main" id="{BF0F2DEB-BB21-4360-9443-22788772B328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0" name="$D$2">
            <a:extLst>
              <a:ext uri="{FF2B5EF4-FFF2-40B4-BE49-F238E27FC236}">
                <a16:creationId xmlns:a16="http://schemas.microsoft.com/office/drawing/2014/main" id="{A2E2D813-7026-49E8-AA28-3D1973584C13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1" name="$D$2">
            <a:extLst>
              <a:ext uri="{FF2B5EF4-FFF2-40B4-BE49-F238E27FC236}">
                <a16:creationId xmlns:a16="http://schemas.microsoft.com/office/drawing/2014/main" id="{5FE2A9F0-25EB-4C43-AD42-7049F49D77C7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2" name="$D$2">
            <a:extLst>
              <a:ext uri="{FF2B5EF4-FFF2-40B4-BE49-F238E27FC236}">
                <a16:creationId xmlns:a16="http://schemas.microsoft.com/office/drawing/2014/main" id="{EFB0534A-F317-4165-AA4B-35CAF3C21E06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3" name="$D$2">
            <a:extLst>
              <a:ext uri="{FF2B5EF4-FFF2-40B4-BE49-F238E27FC236}">
                <a16:creationId xmlns:a16="http://schemas.microsoft.com/office/drawing/2014/main" id="{B0553A86-F8FB-4EA7-9937-BB56433D3F79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4" name="$D$2">
            <a:extLst>
              <a:ext uri="{FF2B5EF4-FFF2-40B4-BE49-F238E27FC236}">
                <a16:creationId xmlns:a16="http://schemas.microsoft.com/office/drawing/2014/main" id="{4874453E-38F4-4D59-8BBA-5871F4B7328C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5" name="$D$2">
            <a:extLst>
              <a:ext uri="{FF2B5EF4-FFF2-40B4-BE49-F238E27FC236}">
                <a16:creationId xmlns:a16="http://schemas.microsoft.com/office/drawing/2014/main" id="{B1C0BB43-5BA7-4888-8817-F5F92C62938E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6" name="$D$2">
            <a:extLst>
              <a:ext uri="{FF2B5EF4-FFF2-40B4-BE49-F238E27FC236}">
                <a16:creationId xmlns:a16="http://schemas.microsoft.com/office/drawing/2014/main" id="{08FCB98B-FB45-4A4A-BAFE-3C563100DAF2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7" name="$D$2">
            <a:extLst>
              <a:ext uri="{FF2B5EF4-FFF2-40B4-BE49-F238E27FC236}">
                <a16:creationId xmlns:a16="http://schemas.microsoft.com/office/drawing/2014/main" id="{59C39DCC-4739-4373-A828-3ADDA76F8ED3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8" name="$D$2">
            <a:extLst>
              <a:ext uri="{FF2B5EF4-FFF2-40B4-BE49-F238E27FC236}">
                <a16:creationId xmlns:a16="http://schemas.microsoft.com/office/drawing/2014/main" id="{7FBA7C16-3822-4CBD-8C06-6289AA6692C2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9" name="$D$2">
            <a:extLst>
              <a:ext uri="{FF2B5EF4-FFF2-40B4-BE49-F238E27FC236}">
                <a16:creationId xmlns:a16="http://schemas.microsoft.com/office/drawing/2014/main" id="{2BAEE538-644C-4950-8082-58959356B137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0" name="$D$2">
            <a:extLst>
              <a:ext uri="{FF2B5EF4-FFF2-40B4-BE49-F238E27FC236}">
                <a16:creationId xmlns:a16="http://schemas.microsoft.com/office/drawing/2014/main" id="{1A503CD8-AA93-4DB4-8D51-EAF00CD23889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1" name="$D$2">
            <a:extLst>
              <a:ext uri="{FF2B5EF4-FFF2-40B4-BE49-F238E27FC236}">
                <a16:creationId xmlns:a16="http://schemas.microsoft.com/office/drawing/2014/main" id="{6E928263-BB9A-4966-9505-5DB54B1F9ED3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0</xdr:row>
      <xdr:rowOff>115570</xdr:rowOff>
    </xdr:from>
    <xdr:to>
      <xdr:col>3</xdr:col>
      <xdr:colOff>1377950</xdr:colOff>
      <xdr:row>0</xdr:row>
      <xdr:rowOff>1309370</xdr:rowOff>
    </xdr:to>
    <xdr:grpSp>
      <xdr:nvGrpSpPr>
        <xdr:cNvPr id="40648" name="$D$1" descr="DataMatrix barcode, 12x12 cells" title="123456789">
          <a:extLst>
            <a:ext uri="{FF2B5EF4-FFF2-40B4-BE49-F238E27FC236}">
              <a16:creationId xmlns:a16="http://schemas.microsoft.com/office/drawing/2014/main" id="{EA8ECF4E-127A-4EBC-8953-3454C84CD831}"/>
            </a:ext>
          </a:extLst>
        </xdr:cNvPr>
        <xdr:cNvGrpSpPr>
          <a:grpSpLocks noChangeAspect="1"/>
        </xdr:cNvGrpSpPr>
      </xdr:nvGrpSpPr>
      <xdr:grpSpPr>
        <a:xfrm>
          <a:off x="4634230" y="115570"/>
          <a:ext cx="1193800" cy="1193800"/>
          <a:chOff x="0" y="0"/>
          <a:chExt cx="152400" cy="152400"/>
        </a:xfrm>
      </xdr:grpSpPr>
      <xdr:sp macro="" textlink="">
        <xdr:nvSpPr>
          <xdr:cNvPr id="40565" name="$D$1">
            <a:extLst>
              <a:ext uri="{FF2B5EF4-FFF2-40B4-BE49-F238E27FC236}">
                <a16:creationId xmlns:a16="http://schemas.microsoft.com/office/drawing/2014/main" id="{077AD334-5F85-42BE-AB4B-D9CDF5391DA9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6" name="$D$1">
            <a:extLst>
              <a:ext uri="{FF2B5EF4-FFF2-40B4-BE49-F238E27FC236}">
                <a16:creationId xmlns:a16="http://schemas.microsoft.com/office/drawing/2014/main" id="{64E5DED9-8447-457C-BA86-850621FE8F0F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7" name="$D$1">
            <a:extLst>
              <a:ext uri="{FF2B5EF4-FFF2-40B4-BE49-F238E27FC236}">
                <a16:creationId xmlns:a16="http://schemas.microsoft.com/office/drawing/2014/main" id="{EC26266B-8775-4675-B5A4-4C4AF486620E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8" name="$D$1">
            <a:extLst>
              <a:ext uri="{FF2B5EF4-FFF2-40B4-BE49-F238E27FC236}">
                <a16:creationId xmlns:a16="http://schemas.microsoft.com/office/drawing/2014/main" id="{8E1B57A5-84AD-4387-9705-F4A7902DDDF7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9" name="$D$1">
            <a:extLst>
              <a:ext uri="{FF2B5EF4-FFF2-40B4-BE49-F238E27FC236}">
                <a16:creationId xmlns:a16="http://schemas.microsoft.com/office/drawing/2014/main" id="{8F77DA06-75C2-4B36-BFA9-C3F8CC44CEB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0" name="$D$1">
            <a:extLst>
              <a:ext uri="{FF2B5EF4-FFF2-40B4-BE49-F238E27FC236}">
                <a16:creationId xmlns:a16="http://schemas.microsoft.com/office/drawing/2014/main" id="{F1947EF4-9EA6-4419-BA12-0043461454FA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1" name="$D$1">
            <a:extLst>
              <a:ext uri="{FF2B5EF4-FFF2-40B4-BE49-F238E27FC236}">
                <a16:creationId xmlns:a16="http://schemas.microsoft.com/office/drawing/2014/main" id="{E2129018-4242-4905-AA83-0433507B153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2" name="$D$1">
            <a:extLst>
              <a:ext uri="{FF2B5EF4-FFF2-40B4-BE49-F238E27FC236}">
                <a16:creationId xmlns:a16="http://schemas.microsoft.com/office/drawing/2014/main" id="{A6512354-4F30-4263-A950-1F0506E7E7C8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3" name="$D$1">
            <a:extLst>
              <a:ext uri="{FF2B5EF4-FFF2-40B4-BE49-F238E27FC236}">
                <a16:creationId xmlns:a16="http://schemas.microsoft.com/office/drawing/2014/main" id="{C460E4FF-C5FE-494D-AD81-9CEA04E7938A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4" name="$D$1">
            <a:extLst>
              <a:ext uri="{FF2B5EF4-FFF2-40B4-BE49-F238E27FC236}">
                <a16:creationId xmlns:a16="http://schemas.microsoft.com/office/drawing/2014/main" id="{7A79FC38-CFDF-41CB-8EFF-A078ABBED1DA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5" name="$D$1">
            <a:extLst>
              <a:ext uri="{FF2B5EF4-FFF2-40B4-BE49-F238E27FC236}">
                <a16:creationId xmlns:a16="http://schemas.microsoft.com/office/drawing/2014/main" id="{A821716A-25F3-4D7A-868E-4A0AA13186CF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6" name="$D$1">
            <a:extLst>
              <a:ext uri="{FF2B5EF4-FFF2-40B4-BE49-F238E27FC236}">
                <a16:creationId xmlns:a16="http://schemas.microsoft.com/office/drawing/2014/main" id="{486DBF86-A795-4EFF-AE16-E463293523B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7" name="$D$1">
            <a:extLst>
              <a:ext uri="{FF2B5EF4-FFF2-40B4-BE49-F238E27FC236}">
                <a16:creationId xmlns:a16="http://schemas.microsoft.com/office/drawing/2014/main" id="{D17AB618-1631-40AA-906B-B9C03046EF22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8" name="$D$1">
            <a:extLst>
              <a:ext uri="{FF2B5EF4-FFF2-40B4-BE49-F238E27FC236}">
                <a16:creationId xmlns:a16="http://schemas.microsoft.com/office/drawing/2014/main" id="{D890D1DC-311B-4321-9306-69B5E9FFDEA6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79" name="$D$1">
            <a:extLst>
              <a:ext uri="{FF2B5EF4-FFF2-40B4-BE49-F238E27FC236}">
                <a16:creationId xmlns:a16="http://schemas.microsoft.com/office/drawing/2014/main" id="{23C09DDB-CA2C-4B78-B5A0-D485BC2CDE9F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0" name="$D$1">
            <a:extLst>
              <a:ext uri="{FF2B5EF4-FFF2-40B4-BE49-F238E27FC236}">
                <a16:creationId xmlns:a16="http://schemas.microsoft.com/office/drawing/2014/main" id="{A68440EB-D633-44CF-8B4A-7EDC597C5992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1" name="$D$1">
            <a:extLst>
              <a:ext uri="{FF2B5EF4-FFF2-40B4-BE49-F238E27FC236}">
                <a16:creationId xmlns:a16="http://schemas.microsoft.com/office/drawing/2014/main" id="{67E37CC8-4E27-43D2-9D17-3CEFBFAABE1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2" name="$D$1">
            <a:extLst>
              <a:ext uri="{FF2B5EF4-FFF2-40B4-BE49-F238E27FC236}">
                <a16:creationId xmlns:a16="http://schemas.microsoft.com/office/drawing/2014/main" id="{FB1841C6-6740-44C9-96F1-1CEA1813FA2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3" name="$D$1">
            <a:extLst>
              <a:ext uri="{FF2B5EF4-FFF2-40B4-BE49-F238E27FC236}">
                <a16:creationId xmlns:a16="http://schemas.microsoft.com/office/drawing/2014/main" id="{1DF1C4A0-6F68-4FB3-8549-E1199DF72D1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4" name="$D$1">
            <a:extLst>
              <a:ext uri="{FF2B5EF4-FFF2-40B4-BE49-F238E27FC236}">
                <a16:creationId xmlns:a16="http://schemas.microsoft.com/office/drawing/2014/main" id="{1BD2EA6A-CEBE-4959-A29D-5088118A6A8C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5" name="$D$1">
            <a:extLst>
              <a:ext uri="{FF2B5EF4-FFF2-40B4-BE49-F238E27FC236}">
                <a16:creationId xmlns:a16="http://schemas.microsoft.com/office/drawing/2014/main" id="{89066DDA-B4CA-4423-BF31-E0F31120D285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6" name="$D$1">
            <a:extLst>
              <a:ext uri="{FF2B5EF4-FFF2-40B4-BE49-F238E27FC236}">
                <a16:creationId xmlns:a16="http://schemas.microsoft.com/office/drawing/2014/main" id="{BBB1A76A-9071-41CD-BB46-B9F6B16F1AD7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7" name="$D$1">
            <a:extLst>
              <a:ext uri="{FF2B5EF4-FFF2-40B4-BE49-F238E27FC236}">
                <a16:creationId xmlns:a16="http://schemas.microsoft.com/office/drawing/2014/main" id="{70D888FE-4D21-4DC8-813C-A2687BC6A58C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8" name="$D$1">
            <a:extLst>
              <a:ext uri="{FF2B5EF4-FFF2-40B4-BE49-F238E27FC236}">
                <a16:creationId xmlns:a16="http://schemas.microsoft.com/office/drawing/2014/main" id="{4F6A3AFA-82C4-4814-B945-CE3A67803544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89" name="$D$1">
            <a:extLst>
              <a:ext uri="{FF2B5EF4-FFF2-40B4-BE49-F238E27FC236}">
                <a16:creationId xmlns:a16="http://schemas.microsoft.com/office/drawing/2014/main" id="{A6E12516-29B5-42A0-8D41-38B9B642E851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0" name="$D$1">
            <a:extLst>
              <a:ext uri="{FF2B5EF4-FFF2-40B4-BE49-F238E27FC236}">
                <a16:creationId xmlns:a16="http://schemas.microsoft.com/office/drawing/2014/main" id="{EA95BC9D-9710-4010-84C7-35794239A94E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1" name="$D$1">
            <a:extLst>
              <a:ext uri="{FF2B5EF4-FFF2-40B4-BE49-F238E27FC236}">
                <a16:creationId xmlns:a16="http://schemas.microsoft.com/office/drawing/2014/main" id="{2CC20DFF-4C37-4833-864D-8558D1CE032D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2" name="$D$1">
            <a:extLst>
              <a:ext uri="{FF2B5EF4-FFF2-40B4-BE49-F238E27FC236}">
                <a16:creationId xmlns:a16="http://schemas.microsoft.com/office/drawing/2014/main" id="{4C50441D-840A-40E4-8141-3899BD519F8A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3" name="$D$1">
            <a:extLst>
              <a:ext uri="{FF2B5EF4-FFF2-40B4-BE49-F238E27FC236}">
                <a16:creationId xmlns:a16="http://schemas.microsoft.com/office/drawing/2014/main" id="{0E3E9C52-86E3-4983-A43D-1E88D740E15F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4" name="$D$1">
            <a:extLst>
              <a:ext uri="{FF2B5EF4-FFF2-40B4-BE49-F238E27FC236}">
                <a16:creationId xmlns:a16="http://schemas.microsoft.com/office/drawing/2014/main" id="{3D709559-7F8F-449D-B807-8D63DB58B015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5" name="$D$1">
            <a:extLst>
              <a:ext uri="{FF2B5EF4-FFF2-40B4-BE49-F238E27FC236}">
                <a16:creationId xmlns:a16="http://schemas.microsoft.com/office/drawing/2014/main" id="{DAE16B09-132C-4C10-863D-30C8CE36F4C3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6" name="$D$1">
            <a:extLst>
              <a:ext uri="{FF2B5EF4-FFF2-40B4-BE49-F238E27FC236}">
                <a16:creationId xmlns:a16="http://schemas.microsoft.com/office/drawing/2014/main" id="{833F89C3-DBA7-461B-BFB4-1B6EC5408EBC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7" name="$D$1">
            <a:extLst>
              <a:ext uri="{FF2B5EF4-FFF2-40B4-BE49-F238E27FC236}">
                <a16:creationId xmlns:a16="http://schemas.microsoft.com/office/drawing/2014/main" id="{E0D87625-5734-40E9-B4B1-9373EE09296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8" name="$D$1">
            <a:extLst>
              <a:ext uri="{FF2B5EF4-FFF2-40B4-BE49-F238E27FC236}">
                <a16:creationId xmlns:a16="http://schemas.microsoft.com/office/drawing/2014/main" id="{B6D40907-EC9E-4AFB-8003-97D83E717274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99" name="$D$1">
            <a:extLst>
              <a:ext uri="{FF2B5EF4-FFF2-40B4-BE49-F238E27FC236}">
                <a16:creationId xmlns:a16="http://schemas.microsoft.com/office/drawing/2014/main" id="{79426D98-E755-4A60-A7E1-AD7C555C916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0" name="$D$1">
            <a:extLst>
              <a:ext uri="{FF2B5EF4-FFF2-40B4-BE49-F238E27FC236}">
                <a16:creationId xmlns:a16="http://schemas.microsoft.com/office/drawing/2014/main" id="{EEC7A6B9-84EF-481C-8DD6-2E1D28BCA5F3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1" name="$D$1">
            <a:extLst>
              <a:ext uri="{FF2B5EF4-FFF2-40B4-BE49-F238E27FC236}">
                <a16:creationId xmlns:a16="http://schemas.microsoft.com/office/drawing/2014/main" id="{83A7FEDB-FD68-43B7-984B-C419BF08E01B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2" name="$D$1">
            <a:extLst>
              <a:ext uri="{FF2B5EF4-FFF2-40B4-BE49-F238E27FC236}">
                <a16:creationId xmlns:a16="http://schemas.microsoft.com/office/drawing/2014/main" id="{77AE7F72-57F5-431B-A9B1-663C24A87B79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3" name="$D$1">
            <a:extLst>
              <a:ext uri="{FF2B5EF4-FFF2-40B4-BE49-F238E27FC236}">
                <a16:creationId xmlns:a16="http://schemas.microsoft.com/office/drawing/2014/main" id="{35741617-16E1-4602-B798-7113184667FB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4" name="$D$1">
            <a:extLst>
              <a:ext uri="{FF2B5EF4-FFF2-40B4-BE49-F238E27FC236}">
                <a16:creationId xmlns:a16="http://schemas.microsoft.com/office/drawing/2014/main" id="{C94A0752-6D07-4870-923E-0E8D4A53165A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5" name="$D$1">
            <a:extLst>
              <a:ext uri="{FF2B5EF4-FFF2-40B4-BE49-F238E27FC236}">
                <a16:creationId xmlns:a16="http://schemas.microsoft.com/office/drawing/2014/main" id="{638D291F-0831-4CA6-B3E1-5F0B347926F1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6" name="$D$1">
            <a:extLst>
              <a:ext uri="{FF2B5EF4-FFF2-40B4-BE49-F238E27FC236}">
                <a16:creationId xmlns:a16="http://schemas.microsoft.com/office/drawing/2014/main" id="{BA60346B-6D6D-4CA8-930E-75282FD02CDF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7" name="$D$1">
            <a:extLst>
              <a:ext uri="{FF2B5EF4-FFF2-40B4-BE49-F238E27FC236}">
                <a16:creationId xmlns:a16="http://schemas.microsoft.com/office/drawing/2014/main" id="{30BBB6ED-75F0-49A8-AF87-5AB1AAA88559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8" name="$D$1">
            <a:extLst>
              <a:ext uri="{FF2B5EF4-FFF2-40B4-BE49-F238E27FC236}">
                <a16:creationId xmlns:a16="http://schemas.microsoft.com/office/drawing/2014/main" id="{BA2C6AD4-7DFF-4BFE-9606-8DE11DC80972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09" name="$D$1">
            <a:extLst>
              <a:ext uri="{FF2B5EF4-FFF2-40B4-BE49-F238E27FC236}">
                <a16:creationId xmlns:a16="http://schemas.microsoft.com/office/drawing/2014/main" id="{71BBCC90-32A2-4560-A695-E9659603B01E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0" name="$D$1">
            <a:extLst>
              <a:ext uri="{FF2B5EF4-FFF2-40B4-BE49-F238E27FC236}">
                <a16:creationId xmlns:a16="http://schemas.microsoft.com/office/drawing/2014/main" id="{87E85189-AD6A-4D74-89C4-7A6A72CD9D1F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1" name="$D$1">
            <a:extLst>
              <a:ext uri="{FF2B5EF4-FFF2-40B4-BE49-F238E27FC236}">
                <a16:creationId xmlns:a16="http://schemas.microsoft.com/office/drawing/2014/main" id="{007974AE-D6DD-48DB-AEB3-2F2823AE7DD6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2" name="$D$1">
            <a:extLst>
              <a:ext uri="{FF2B5EF4-FFF2-40B4-BE49-F238E27FC236}">
                <a16:creationId xmlns:a16="http://schemas.microsoft.com/office/drawing/2014/main" id="{0C3F6582-E458-41FD-BD39-3FE59516272D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3" name="$D$1">
            <a:extLst>
              <a:ext uri="{FF2B5EF4-FFF2-40B4-BE49-F238E27FC236}">
                <a16:creationId xmlns:a16="http://schemas.microsoft.com/office/drawing/2014/main" id="{75C205A9-C4FA-4348-B0F5-F47B41E60103}"/>
              </a:ext>
            </a:extLst>
          </xdr:cNvPr>
          <xdr:cNvSpPr/>
        </xdr:nvSpPr>
        <xdr:spPr>
          <a:xfrm>
            <a:off x="63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4" name="$D$1">
            <a:extLst>
              <a:ext uri="{FF2B5EF4-FFF2-40B4-BE49-F238E27FC236}">
                <a16:creationId xmlns:a16="http://schemas.microsoft.com/office/drawing/2014/main" id="{8F68529C-07D1-4E18-92EC-0AA316C8DF4D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5" name="$D$1">
            <a:extLst>
              <a:ext uri="{FF2B5EF4-FFF2-40B4-BE49-F238E27FC236}">
                <a16:creationId xmlns:a16="http://schemas.microsoft.com/office/drawing/2014/main" id="{65FFC2C8-D6B5-41C3-AC63-1F52BA61D888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6" name="$D$1">
            <a:extLst>
              <a:ext uri="{FF2B5EF4-FFF2-40B4-BE49-F238E27FC236}">
                <a16:creationId xmlns:a16="http://schemas.microsoft.com/office/drawing/2014/main" id="{6AC7D12D-389A-4FB9-9B6C-FE62E0F5E468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7" name="$D$1">
            <a:extLst>
              <a:ext uri="{FF2B5EF4-FFF2-40B4-BE49-F238E27FC236}">
                <a16:creationId xmlns:a16="http://schemas.microsoft.com/office/drawing/2014/main" id="{0197E095-4260-4107-821A-40752AA294DF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8" name="$D$1">
            <a:extLst>
              <a:ext uri="{FF2B5EF4-FFF2-40B4-BE49-F238E27FC236}">
                <a16:creationId xmlns:a16="http://schemas.microsoft.com/office/drawing/2014/main" id="{D13A3048-3815-411F-897D-AD7C08EBACCF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19" name="$D$1">
            <a:extLst>
              <a:ext uri="{FF2B5EF4-FFF2-40B4-BE49-F238E27FC236}">
                <a16:creationId xmlns:a16="http://schemas.microsoft.com/office/drawing/2014/main" id="{294F9323-A815-4327-AAB8-9EB84716861F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0" name="$D$1">
            <a:extLst>
              <a:ext uri="{FF2B5EF4-FFF2-40B4-BE49-F238E27FC236}">
                <a16:creationId xmlns:a16="http://schemas.microsoft.com/office/drawing/2014/main" id="{8B6A8E5E-9CDD-4EAA-ACA1-6F37A49D508D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1" name="$D$1">
            <a:extLst>
              <a:ext uri="{FF2B5EF4-FFF2-40B4-BE49-F238E27FC236}">
                <a16:creationId xmlns:a16="http://schemas.microsoft.com/office/drawing/2014/main" id="{4AD4B622-085F-4A2D-BF5C-0C6A9A101CD5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2" name="$D$1">
            <a:extLst>
              <a:ext uri="{FF2B5EF4-FFF2-40B4-BE49-F238E27FC236}">
                <a16:creationId xmlns:a16="http://schemas.microsoft.com/office/drawing/2014/main" id="{96CE8DDF-D573-49E5-BF90-246198487303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3" name="$D$1">
            <a:extLst>
              <a:ext uri="{FF2B5EF4-FFF2-40B4-BE49-F238E27FC236}">
                <a16:creationId xmlns:a16="http://schemas.microsoft.com/office/drawing/2014/main" id="{0C920465-A4B2-49DB-8C73-FA9819B8A33E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4" name="$D$1">
            <a:extLst>
              <a:ext uri="{FF2B5EF4-FFF2-40B4-BE49-F238E27FC236}">
                <a16:creationId xmlns:a16="http://schemas.microsoft.com/office/drawing/2014/main" id="{DFE86958-05E9-4195-A489-7AA7B843AA03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5" name="$D$1">
            <a:extLst>
              <a:ext uri="{FF2B5EF4-FFF2-40B4-BE49-F238E27FC236}">
                <a16:creationId xmlns:a16="http://schemas.microsoft.com/office/drawing/2014/main" id="{BBA8519A-B8AF-474E-A825-7DFEB5A7904A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6" name="$D$1">
            <a:extLst>
              <a:ext uri="{FF2B5EF4-FFF2-40B4-BE49-F238E27FC236}">
                <a16:creationId xmlns:a16="http://schemas.microsoft.com/office/drawing/2014/main" id="{234F5A4D-B8F2-477B-AE0E-1E8768A216CA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7" name="$D$1">
            <a:extLst>
              <a:ext uri="{FF2B5EF4-FFF2-40B4-BE49-F238E27FC236}">
                <a16:creationId xmlns:a16="http://schemas.microsoft.com/office/drawing/2014/main" id="{1F54913D-B0C3-4B06-AAD4-A556D5D28574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8" name="$D$1">
            <a:extLst>
              <a:ext uri="{FF2B5EF4-FFF2-40B4-BE49-F238E27FC236}">
                <a16:creationId xmlns:a16="http://schemas.microsoft.com/office/drawing/2014/main" id="{A5B07DF6-B631-4910-B865-F8DF89797573}"/>
              </a:ext>
            </a:extLst>
          </xdr:cNvPr>
          <xdr:cNvSpPr/>
        </xdr:nvSpPr>
        <xdr:spPr>
          <a:xfrm>
            <a:off x="50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29" name="$D$1">
            <a:extLst>
              <a:ext uri="{FF2B5EF4-FFF2-40B4-BE49-F238E27FC236}">
                <a16:creationId xmlns:a16="http://schemas.microsoft.com/office/drawing/2014/main" id="{565CF05F-382F-4B58-9431-EA0A130C1492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0" name="$D$1">
            <a:extLst>
              <a:ext uri="{FF2B5EF4-FFF2-40B4-BE49-F238E27FC236}">
                <a16:creationId xmlns:a16="http://schemas.microsoft.com/office/drawing/2014/main" id="{50ADB920-F21D-4195-BC08-B3E5B779CA4D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1" name="$D$1">
            <a:extLst>
              <a:ext uri="{FF2B5EF4-FFF2-40B4-BE49-F238E27FC236}">
                <a16:creationId xmlns:a16="http://schemas.microsoft.com/office/drawing/2014/main" id="{0F37BB7F-CA9F-47C8-BA44-D23EEAFB33E7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2" name="$D$1">
            <a:extLst>
              <a:ext uri="{FF2B5EF4-FFF2-40B4-BE49-F238E27FC236}">
                <a16:creationId xmlns:a16="http://schemas.microsoft.com/office/drawing/2014/main" id="{1A7FC653-B8A1-461D-92EE-9BF5F1098132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3" name="$D$1">
            <a:extLst>
              <a:ext uri="{FF2B5EF4-FFF2-40B4-BE49-F238E27FC236}">
                <a16:creationId xmlns:a16="http://schemas.microsoft.com/office/drawing/2014/main" id="{E50E747B-893B-4071-B0B5-45839C4F6F02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4" name="$D$1">
            <a:extLst>
              <a:ext uri="{FF2B5EF4-FFF2-40B4-BE49-F238E27FC236}">
                <a16:creationId xmlns:a16="http://schemas.microsoft.com/office/drawing/2014/main" id="{4169AC8E-2B29-4274-BFCC-2CC8FF217B2B}"/>
              </a:ext>
            </a:extLst>
          </xdr:cNvPr>
          <xdr:cNvSpPr/>
        </xdr:nvSpPr>
        <xdr:spPr>
          <a:xfrm>
            <a:off x="88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5" name="$D$1">
            <a:extLst>
              <a:ext uri="{FF2B5EF4-FFF2-40B4-BE49-F238E27FC236}">
                <a16:creationId xmlns:a16="http://schemas.microsoft.com/office/drawing/2014/main" id="{6A890C4C-0322-42E4-B6CD-5EEC7A6CF411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6" name="$D$1">
            <a:extLst>
              <a:ext uri="{FF2B5EF4-FFF2-40B4-BE49-F238E27FC236}">
                <a16:creationId xmlns:a16="http://schemas.microsoft.com/office/drawing/2014/main" id="{7BD28E9A-E79D-4A61-B66E-2F64F89D1F74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7" name="$D$1">
            <a:extLst>
              <a:ext uri="{FF2B5EF4-FFF2-40B4-BE49-F238E27FC236}">
                <a16:creationId xmlns:a16="http://schemas.microsoft.com/office/drawing/2014/main" id="{58460C5C-A9A0-49A0-BFE9-EB5C734844D9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8" name="$D$1">
            <a:extLst>
              <a:ext uri="{FF2B5EF4-FFF2-40B4-BE49-F238E27FC236}">
                <a16:creationId xmlns:a16="http://schemas.microsoft.com/office/drawing/2014/main" id="{7AA2B70E-0E23-42CC-A3BD-7F1F4C694AD3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39" name="$D$1">
            <a:extLst>
              <a:ext uri="{FF2B5EF4-FFF2-40B4-BE49-F238E27FC236}">
                <a16:creationId xmlns:a16="http://schemas.microsoft.com/office/drawing/2014/main" id="{4A3CEB84-C7B7-4259-8EEF-982507AF6259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0" name="$D$1">
            <a:extLst>
              <a:ext uri="{FF2B5EF4-FFF2-40B4-BE49-F238E27FC236}">
                <a16:creationId xmlns:a16="http://schemas.microsoft.com/office/drawing/2014/main" id="{353159AF-7382-4711-B433-E738DAD0F31B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1" name="$D$1">
            <a:extLst>
              <a:ext uri="{FF2B5EF4-FFF2-40B4-BE49-F238E27FC236}">
                <a16:creationId xmlns:a16="http://schemas.microsoft.com/office/drawing/2014/main" id="{8CC05343-57BD-4258-B1A7-EE69A955060B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2" name="$D$1">
            <a:extLst>
              <a:ext uri="{FF2B5EF4-FFF2-40B4-BE49-F238E27FC236}">
                <a16:creationId xmlns:a16="http://schemas.microsoft.com/office/drawing/2014/main" id="{B9D8CC82-EBD5-44E9-AB3B-CAB583DC6AA7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3" name="$D$1">
            <a:extLst>
              <a:ext uri="{FF2B5EF4-FFF2-40B4-BE49-F238E27FC236}">
                <a16:creationId xmlns:a16="http://schemas.microsoft.com/office/drawing/2014/main" id="{6424F494-2E6C-49DB-BF00-D7F79282B119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4" name="$D$1">
            <a:extLst>
              <a:ext uri="{FF2B5EF4-FFF2-40B4-BE49-F238E27FC236}">
                <a16:creationId xmlns:a16="http://schemas.microsoft.com/office/drawing/2014/main" id="{7335F610-F358-42EB-9F0C-22D7F3227477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5" name="$D$1">
            <a:extLst>
              <a:ext uri="{FF2B5EF4-FFF2-40B4-BE49-F238E27FC236}">
                <a16:creationId xmlns:a16="http://schemas.microsoft.com/office/drawing/2014/main" id="{D6A3DF89-3F9C-477E-8EE4-5595D8761F61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6" name="$D$1">
            <a:extLst>
              <a:ext uri="{FF2B5EF4-FFF2-40B4-BE49-F238E27FC236}">
                <a16:creationId xmlns:a16="http://schemas.microsoft.com/office/drawing/2014/main" id="{D5678068-1B66-436B-A58E-4F6A4598AF91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47" name="$D$1">
            <a:extLst>
              <a:ext uri="{FF2B5EF4-FFF2-40B4-BE49-F238E27FC236}">
                <a16:creationId xmlns:a16="http://schemas.microsoft.com/office/drawing/2014/main" id="{7704D676-1574-426C-B4F3-9AFC21B152E5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0</xdr:row>
      <xdr:rowOff>219655</xdr:rowOff>
    </xdr:from>
    <xdr:to>
      <xdr:col>2</xdr:col>
      <xdr:colOff>1030025</xdr:colOff>
      <xdr:row>0</xdr:row>
      <xdr:rowOff>1205285</xdr:rowOff>
    </xdr:to>
    <xdr:grpSp>
      <xdr:nvGrpSpPr>
        <xdr:cNvPr id="40865" name="$C$1" descr="QuickResponse barcode, level H, version 1, mode digit, 21x21 cells" title="123456789">
          <a:extLst>
            <a:ext uri="{FF2B5EF4-FFF2-40B4-BE49-F238E27FC236}">
              <a16:creationId xmlns:a16="http://schemas.microsoft.com/office/drawing/2014/main" id="{D1532039-02C7-4202-BD16-3F45E6406070}"/>
            </a:ext>
          </a:extLst>
        </xdr:cNvPr>
        <xdr:cNvGrpSpPr>
          <a:grpSpLocks noChangeAspect="1"/>
        </xdr:cNvGrpSpPr>
      </xdr:nvGrpSpPr>
      <xdr:grpSpPr>
        <a:xfrm>
          <a:off x="3420055" y="219655"/>
          <a:ext cx="985630" cy="985630"/>
          <a:chOff x="0" y="0"/>
          <a:chExt cx="266700" cy="266700"/>
        </a:xfrm>
      </xdr:grpSpPr>
      <xdr:sp macro="" textlink="">
        <xdr:nvSpPr>
          <xdr:cNvPr id="40649" name="$C$1">
            <a:extLst>
              <a:ext uri="{FF2B5EF4-FFF2-40B4-BE49-F238E27FC236}">
                <a16:creationId xmlns:a16="http://schemas.microsoft.com/office/drawing/2014/main" id="{68A24282-FE55-4B95-A62F-22FC1981D6B6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0" name="$C$1">
            <a:extLst>
              <a:ext uri="{FF2B5EF4-FFF2-40B4-BE49-F238E27FC236}">
                <a16:creationId xmlns:a16="http://schemas.microsoft.com/office/drawing/2014/main" id="{AF750ABE-1479-496E-9D66-779E328EDE6F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1" name="$C$1">
            <a:extLst>
              <a:ext uri="{FF2B5EF4-FFF2-40B4-BE49-F238E27FC236}">
                <a16:creationId xmlns:a16="http://schemas.microsoft.com/office/drawing/2014/main" id="{B557E511-574D-4812-9670-6D5165BC235F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2" name="$C$1">
            <a:extLst>
              <a:ext uri="{FF2B5EF4-FFF2-40B4-BE49-F238E27FC236}">
                <a16:creationId xmlns:a16="http://schemas.microsoft.com/office/drawing/2014/main" id="{EB8CB26A-C4A1-4EA4-9E95-E866224799D2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3" name="$C$1">
            <a:extLst>
              <a:ext uri="{FF2B5EF4-FFF2-40B4-BE49-F238E27FC236}">
                <a16:creationId xmlns:a16="http://schemas.microsoft.com/office/drawing/2014/main" id="{E0CD2D79-5A8C-4C70-A530-A5DD087D712D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4" name="$C$1">
            <a:extLst>
              <a:ext uri="{FF2B5EF4-FFF2-40B4-BE49-F238E27FC236}">
                <a16:creationId xmlns:a16="http://schemas.microsoft.com/office/drawing/2014/main" id="{37EE895A-B8B5-48F5-A627-AFAFD83A9573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5" name="$C$1">
            <a:extLst>
              <a:ext uri="{FF2B5EF4-FFF2-40B4-BE49-F238E27FC236}">
                <a16:creationId xmlns:a16="http://schemas.microsoft.com/office/drawing/2014/main" id="{1BA3B771-9F08-4C3B-9E11-602207FFB2E3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6" name="$C$1">
            <a:extLst>
              <a:ext uri="{FF2B5EF4-FFF2-40B4-BE49-F238E27FC236}">
                <a16:creationId xmlns:a16="http://schemas.microsoft.com/office/drawing/2014/main" id="{857CF294-9E01-4B3B-8368-D39B48C597F3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7" name="$C$1">
            <a:extLst>
              <a:ext uri="{FF2B5EF4-FFF2-40B4-BE49-F238E27FC236}">
                <a16:creationId xmlns:a16="http://schemas.microsoft.com/office/drawing/2014/main" id="{D0AC8C40-296C-40AA-8BB9-EFD69979B14E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8" name="$C$1">
            <a:extLst>
              <a:ext uri="{FF2B5EF4-FFF2-40B4-BE49-F238E27FC236}">
                <a16:creationId xmlns:a16="http://schemas.microsoft.com/office/drawing/2014/main" id="{B01A27F3-C097-4ABD-81DF-0AFB0D9C559F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59" name="$C$1">
            <a:extLst>
              <a:ext uri="{FF2B5EF4-FFF2-40B4-BE49-F238E27FC236}">
                <a16:creationId xmlns:a16="http://schemas.microsoft.com/office/drawing/2014/main" id="{1F8C280C-EBA5-424E-8964-A1B31CA90FB5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0" name="$C$1">
            <a:extLst>
              <a:ext uri="{FF2B5EF4-FFF2-40B4-BE49-F238E27FC236}">
                <a16:creationId xmlns:a16="http://schemas.microsoft.com/office/drawing/2014/main" id="{6B1F0374-911D-4F3F-8F26-28D2E7B86B4E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1" name="$C$1">
            <a:extLst>
              <a:ext uri="{FF2B5EF4-FFF2-40B4-BE49-F238E27FC236}">
                <a16:creationId xmlns:a16="http://schemas.microsoft.com/office/drawing/2014/main" id="{84F6482D-EC07-45B9-BA43-0D107FEC64C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2" name="$C$1">
            <a:extLst>
              <a:ext uri="{FF2B5EF4-FFF2-40B4-BE49-F238E27FC236}">
                <a16:creationId xmlns:a16="http://schemas.microsoft.com/office/drawing/2014/main" id="{BA5DB7FA-5DF0-410D-A0CE-3BEFA9F5CFA1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3" name="$C$1">
            <a:extLst>
              <a:ext uri="{FF2B5EF4-FFF2-40B4-BE49-F238E27FC236}">
                <a16:creationId xmlns:a16="http://schemas.microsoft.com/office/drawing/2014/main" id="{C4A06419-D38B-466E-8838-A0261C179F5E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4" name="$C$1">
            <a:extLst>
              <a:ext uri="{FF2B5EF4-FFF2-40B4-BE49-F238E27FC236}">
                <a16:creationId xmlns:a16="http://schemas.microsoft.com/office/drawing/2014/main" id="{8BE86160-A40A-44DA-8919-A02BE9680C2B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5" name="$C$1">
            <a:extLst>
              <a:ext uri="{FF2B5EF4-FFF2-40B4-BE49-F238E27FC236}">
                <a16:creationId xmlns:a16="http://schemas.microsoft.com/office/drawing/2014/main" id="{A5A90A3B-5627-46A9-9C34-84BD9976EAB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6" name="$C$1">
            <a:extLst>
              <a:ext uri="{FF2B5EF4-FFF2-40B4-BE49-F238E27FC236}">
                <a16:creationId xmlns:a16="http://schemas.microsoft.com/office/drawing/2014/main" id="{C6976C1E-F88C-4883-8BEF-7318C8C08756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7" name="$C$1">
            <a:extLst>
              <a:ext uri="{FF2B5EF4-FFF2-40B4-BE49-F238E27FC236}">
                <a16:creationId xmlns:a16="http://schemas.microsoft.com/office/drawing/2014/main" id="{45080D5F-A419-4363-AC3F-49535226BD19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8" name="$C$1">
            <a:extLst>
              <a:ext uri="{FF2B5EF4-FFF2-40B4-BE49-F238E27FC236}">
                <a16:creationId xmlns:a16="http://schemas.microsoft.com/office/drawing/2014/main" id="{BDB8A25E-06D3-4233-8C7D-FCE06AC85DFB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69" name="$C$1">
            <a:extLst>
              <a:ext uri="{FF2B5EF4-FFF2-40B4-BE49-F238E27FC236}">
                <a16:creationId xmlns:a16="http://schemas.microsoft.com/office/drawing/2014/main" id="{9C215B94-BA42-4C1A-B63B-10005CEF9991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0" name="$C$1">
            <a:extLst>
              <a:ext uri="{FF2B5EF4-FFF2-40B4-BE49-F238E27FC236}">
                <a16:creationId xmlns:a16="http://schemas.microsoft.com/office/drawing/2014/main" id="{F53C1963-3D28-407F-A572-1AB39D6CA342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1" name="$C$1">
            <a:extLst>
              <a:ext uri="{FF2B5EF4-FFF2-40B4-BE49-F238E27FC236}">
                <a16:creationId xmlns:a16="http://schemas.microsoft.com/office/drawing/2014/main" id="{5B29CEAC-CC0C-4262-9221-39863F127AA6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2" name="$C$1">
            <a:extLst>
              <a:ext uri="{FF2B5EF4-FFF2-40B4-BE49-F238E27FC236}">
                <a16:creationId xmlns:a16="http://schemas.microsoft.com/office/drawing/2014/main" id="{368814F4-62B4-46A5-9A16-B23CCE2FE66B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3" name="$C$1">
            <a:extLst>
              <a:ext uri="{FF2B5EF4-FFF2-40B4-BE49-F238E27FC236}">
                <a16:creationId xmlns:a16="http://schemas.microsoft.com/office/drawing/2014/main" id="{DF9547C9-F896-459A-8EB1-2960B4712003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4" name="$C$1">
            <a:extLst>
              <a:ext uri="{FF2B5EF4-FFF2-40B4-BE49-F238E27FC236}">
                <a16:creationId xmlns:a16="http://schemas.microsoft.com/office/drawing/2014/main" id="{F481987C-3B5A-4937-ACFB-A2429BEB49F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5" name="$C$1">
            <a:extLst>
              <a:ext uri="{FF2B5EF4-FFF2-40B4-BE49-F238E27FC236}">
                <a16:creationId xmlns:a16="http://schemas.microsoft.com/office/drawing/2014/main" id="{199EE8A8-40A8-4CD2-9DE3-3D462423B07D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6" name="$C$1">
            <a:extLst>
              <a:ext uri="{FF2B5EF4-FFF2-40B4-BE49-F238E27FC236}">
                <a16:creationId xmlns:a16="http://schemas.microsoft.com/office/drawing/2014/main" id="{3BB876AC-BCAD-49C6-A2F4-93141154A72F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7" name="$C$1">
            <a:extLst>
              <a:ext uri="{FF2B5EF4-FFF2-40B4-BE49-F238E27FC236}">
                <a16:creationId xmlns:a16="http://schemas.microsoft.com/office/drawing/2014/main" id="{9BB5D8D1-0E0B-41AA-8650-31DC5F15E974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8" name="$C$1">
            <a:extLst>
              <a:ext uri="{FF2B5EF4-FFF2-40B4-BE49-F238E27FC236}">
                <a16:creationId xmlns:a16="http://schemas.microsoft.com/office/drawing/2014/main" id="{6E48C35E-EF20-4299-9CBB-DC3503A0DB5B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79" name="$C$1">
            <a:extLst>
              <a:ext uri="{FF2B5EF4-FFF2-40B4-BE49-F238E27FC236}">
                <a16:creationId xmlns:a16="http://schemas.microsoft.com/office/drawing/2014/main" id="{799957E2-AE25-43D1-BA91-C2584ECC467F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0" name="$C$1">
            <a:extLst>
              <a:ext uri="{FF2B5EF4-FFF2-40B4-BE49-F238E27FC236}">
                <a16:creationId xmlns:a16="http://schemas.microsoft.com/office/drawing/2014/main" id="{5B403ED8-B07F-413D-9F76-B536D54B7E02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1" name="$C$1">
            <a:extLst>
              <a:ext uri="{FF2B5EF4-FFF2-40B4-BE49-F238E27FC236}">
                <a16:creationId xmlns:a16="http://schemas.microsoft.com/office/drawing/2014/main" id="{81D4D74C-8692-4B56-B843-4E56EB34CEC1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2" name="$C$1">
            <a:extLst>
              <a:ext uri="{FF2B5EF4-FFF2-40B4-BE49-F238E27FC236}">
                <a16:creationId xmlns:a16="http://schemas.microsoft.com/office/drawing/2014/main" id="{ADF35998-8D6B-4879-AD52-7787C0CCA1C2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3" name="$C$1">
            <a:extLst>
              <a:ext uri="{FF2B5EF4-FFF2-40B4-BE49-F238E27FC236}">
                <a16:creationId xmlns:a16="http://schemas.microsoft.com/office/drawing/2014/main" id="{4E383C47-5970-4879-A661-1AD5CDADE4C5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4" name="$C$1">
            <a:extLst>
              <a:ext uri="{FF2B5EF4-FFF2-40B4-BE49-F238E27FC236}">
                <a16:creationId xmlns:a16="http://schemas.microsoft.com/office/drawing/2014/main" id="{15F24DCE-3D6D-4462-83D7-DEEF77191F2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5" name="$C$1">
            <a:extLst>
              <a:ext uri="{FF2B5EF4-FFF2-40B4-BE49-F238E27FC236}">
                <a16:creationId xmlns:a16="http://schemas.microsoft.com/office/drawing/2014/main" id="{BF77C03B-8A1F-4502-B183-528C74822ACC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6" name="$C$1">
            <a:extLst>
              <a:ext uri="{FF2B5EF4-FFF2-40B4-BE49-F238E27FC236}">
                <a16:creationId xmlns:a16="http://schemas.microsoft.com/office/drawing/2014/main" id="{1C83BCA9-0032-4C38-AF63-C1B5943CCFD8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7" name="$C$1">
            <a:extLst>
              <a:ext uri="{FF2B5EF4-FFF2-40B4-BE49-F238E27FC236}">
                <a16:creationId xmlns:a16="http://schemas.microsoft.com/office/drawing/2014/main" id="{9AB4C10F-A205-49D3-A2D0-385FABD385C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8" name="$C$1">
            <a:extLst>
              <a:ext uri="{FF2B5EF4-FFF2-40B4-BE49-F238E27FC236}">
                <a16:creationId xmlns:a16="http://schemas.microsoft.com/office/drawing/2014/main" id="{AC81E356-7778-4853-BEC7-3816B47906E0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89" name="$C$1">
            <a:extLst>
              <a:ext uri="{FF2B5EF4-FFF2-40B4-BE49-F238E27FC236}">
                <a16:creationId xmlns:a16="http://schemas.microsoft.com/office/drawing/2014/main" id="{02ABB2A3-A0C9-4D43-8D62-F92711CA99E3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0" name="$C$1">
            <a:extLst>
              <a:ext uri="{FF2B5EF4-FFF2-40B4-BE49-F238E27FC236}">
                <a16:creationId xmlns:a16="http://schemas.microsoft.com/office/drawing/2014/main" id="{9E6E9C62-BAE0-4428-8307-6F879F3AAE1A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1" name="$C$1">
            <a:extLst>
              <a:ext uri="{FF2B5EF4-FFF2-40B4-BE49-F238E27FC236}">
                <a16:creationId xmlns:a16="http://schemas.microsoft.com/office/drawing/2014/main" id="{CC0A437E-254B-4D45-BC71-396D4AF8BA93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2" name="$C$1">
            <a:extLst>
              <a:ext uri="{FF2B5EF4-FFF2-40B4-BE49-F238E27FC236}">
                <a16:creationId xmlns:a16="http://schemas.microsoft.com/office/drawing/2014/main" id="{50AF4AA1-1857-41BF-B766-1D7CF22E014F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3" name="$C$1">
            <a:extLst>
              <a:ext uri="{FF2B5EF4-FFF2-40B4-BE49-F238E27FC236}">
                <a16:creationId xmlns:a16="http://schemas.microsoft.com/office/drawing/2014/main" id="{1C228623-61CF-4AA7-BE13-9C811CE0E53B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4" name="$C$1">
            <a:extLst>
              <a:ext uri="{FF2B5EF4-FFF2-40B4-BE49-F238E27FC236}">
                <a16:creationId xmlns:a16="http://schemas.microsoft.com/office/drawing/2014/main" id="{09C8B0B1-6934-4BB1-8A70-DFC81A5F8FF7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5" name="$C$1">
            <a:extLst>
              <a:ext uri="{FF2B5EF4-FFF2-40B4-BE49-F238E27FC236}">
                <a16:creationId xmlns:a16="http://schemas.microsoft.com/office/drawing/2014/main" id="{80889CC7-A1FD-474A-AB0B-EA6EBC23875B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6" name="$C$1">
            <a:extLst>
              <a:ext uri="{FF2B5EF4-FFF2-40B4-BE49-F238E27FC236}">
                <a16:creationId xmlns:a16="http://schemas.microsoft.com/office/drawing/2014/main" id="{4DAF74EA-F2E2-4053-9C92-BCFAFB59B83B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7" name="$C$1">
            <a:extLst>
              <a:ext uri="{FF2B5EF4-FFF2-40B4-BE49-F238E27FC236}">
                <a16:creationId xmlns:a16="http://schemas.microsoft.com/office/drawing/2014/main" id="{50525097-CBAB-4177-8496-D4E692A0DF6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8" name="$C$1">
            <a:extLst>
              <a:ext uri="{FF2B5EF4-FFF2-40B4-BE49-F238E27FC236}">
                <a16:creationId xmlns:a16="http://schemas.microsoft.com/office/drawing/2014/main" id="{8E27BA81-F699-47EA-90D6-C031F8A89B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99" name="$C$1">
            <a:extLst>
              <a:ext uri="{FF2B5EF4-FFF2-40B4-BE49-F238E27FC236}">
                <a16:creationId xmlns:a16="http://schemas.microsoft.com/office/drawing/2014/main" id="{80920243-225E-478E-B7F1-C7F2889C9BF4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0" name="$C$1">
            <a:extLst>
              <a:ext uri="{FF2B5EF4-FFF2-40B4-BE49-F238E27FC236}">
                <a16:creationId xmlns:a16="http://schemas.microsoft.com/office/drawing/2014/main" id="{B2D4BD26-E215-48F3-8BC2-7018824FBE6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1" name="$C$1">
            <a:extLst>
              <a:ext uri="{FF2B5EF4-FFF2-40B4-BE49-F238E27FC236}">
                <a16:creationId xmlns:a16="http://schemas.microsoft.com/office/drawing/2014/main" id="{FD7A1DD1-D154-4DE4-9125-9C0D2265BD5A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2" name="$C$1">
            <a:extLst>
              <a:ext uri="{FF2B5EF4-FFF2-40B4-BE49-F238E27FC236}">
                <a16:creationId xmlns:a16="http://schemas.microsoft.com/office/drawing/2014/main" id="{5438AC4E-AF3D-4E1D-95D9-BBC449174485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3" name="$C$1">
            <a:extLst>
              <a:ext uri="{FF2B5EF4-FFF2-40B4-BE49-F238E27FC236}">
                <a16:creationId xmlns:a16="http://schemas.microsoft.com/office/drawing/2014/main" id="{EFCE6FE2-0DCD-40F7-A338-28DCE9A7BEE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4" name="$C$1">
            <a:extLst>
              <a:ext uri="{FF2B5EF4-FFF2-40B4-BE49-F238E27FC236}">
                <a16:creationId xmlns:a16="http://schemas.microsoft.com/office/drawing/2014/main" id="{A458BA11-1514-473A-8BA5-B5E839AB4EC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5" name="$C$1">
            <a:extLst>
              <a:ext uri="{FF2B5EF4-FFF2-40B4-BE49-F238E27FC236}">
                <a16:creationId xmlns:a16="http://schemas.microsoft.com/office/drawing/2014/main" id="{EE6F599D-D19E-426B-881D-D6B1B17B939A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6" name="$C$1">
            <a:extLst>
              <a:ext uri="{FF2B5EF4-FFF2-40B4-BE49-F238E27FC236}">
                <a16:creationId xmlns:a16="http://schemas.microsoft.com/office/drawing/2014/main" id="{78A38BA2-1B9C-4A59-B7A7-85D4E1695C5C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7" name="$C$1">
            <a:extLst>
              <a:ext uri="{FF2B5EF4-FFF2-40B4-BE49-F238E27FC236}">
                <a16:creationId xmlns:a16="http://schemas.microsoft.com/office/drawing/2014/main" id="{FA1E5F5E-81D5-4D1D-956D-85A0D3541A21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8" name="$C$1">
            <a:extLst>
              <a:ext uri="{FF2B5EF4-FFF2-40B4-BE49-F238E27FC236}">
                <a16:creationId xmlns:a16="http://schemas.microsoft.com/office/drawing/2014/main" id="{550196EE-D30E-4D35-ADA7-3449A505F52E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09" name="$C$1">
            <a:extLst>
              <a:ext uri="{FF2B5EF4-FFF2-40B4-BE49-F238E27FC236}">
                <a16:creationId xmlns:a16="http://schemas.microsoft.com/office/drawing/2014/main" id="{CA660574-A4FD-496A-A001-DA159AE5C7CB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0" name="$C$1">
            <a:extLst>
              <a:ext uri="{FF2B5EF4-FFF2-40B4-BE49-F238E27FC236}">
                <a16:creationId xmlns:a16="http://schemas.microsoft.com/office/drawing/2014/main" id="{B549664F-A313-445B-880D-2C7DA3EEF5F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1" name="$C$1">
            <a:extLst>
              <a:ext uri="{FF2B5EF4-FFF2-40B4-BE49-F238E27FC236}">
                <a16:creationId xmlns:a16="http://schemas.microsoft.com/office/drawing/2014/main" id="{8FC27D72-DD31-4E4C-B268-68875FA31D0D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2" name="$C$1">
            <a:extLst>
              <a:ext uri="{FF2B5EF4-FFF2-40B4-BE49-F238E27FC236}">
                <a16:creationId xmlns:a16="http://schemas.microsoft.com/office/drawing/2014/main" id="{E0D79BAC-8CA5-4E52-B011-861DC8EDD0AC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3" name="$C$1">
            <a:extLst>
              <a:ext uri="{FF2B5EF4-FFF2-40B4-BE49-F238E27FC236}">
                <a16:creationId xmlns:a16="http://schemas.microsoft.com/office/drawing/2014/main" id="{E69C4403-04DE-43D6-9F72-D25DE649EB7E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4" name="$C$1">
            <a:extLst>
              <a:ext uri="{FF2B5EF4-FFF2-40B4-BE49-F238E27FC236}">
                <a16:creationId xmlns:a16="http://schemas.microsoft.com/office/drawing/2014/main" id="{C779F9D4-165E-400C-BA1A-D980FF813FB6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5" name="$C$1">
            <a:extLst>
              <a:ext uri="{FF2B5EF4-FFF2-40B4-BE49-F238E27FC236}">
                <a16:creationId xmlns:a16="http://schemas.microsoft.com/office/drawing/2014/main" id="{CDF74825-0502-473E-9F24-B946C3B7BD49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6" name="$C$1">
            <a:extLst>
              <a:ext uri="{FF2B5EF4-FFF2-40B4-BE49-F238E27FC236}">
                <a16:creationId xmlns:a16="http://schemas.microsoft.com/office/drawing/2014/main" id="{3AAD767C-BA0C-4796-A263-DAC0A422BB53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7" name="$C$1">
            <a:extLst>
              <a:ext uri="{FF2B5EF4-FFF2-40B4-BE49-F238E27FC236}">
                <a16:creationId xmlns:a16="http://schemas.microsoft.com/office/drawing/2014/main" id="{1DB06F96-CFFA-4025-B22E-27F89FFE3564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8" name="$C$1">
            <a:extLst>
              <a:ext uri="{FF2B5EF4-FFF2-40B4-BE49-F238E27FC236}">
                <a16:creationId xmlns:a16="http://schemas.microsoft.com/office/drawing/2014/main" id="{571128F3-DFCB-4F37-8CC5-A02D41A89EC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19" name="$C$1">
            <a:extLst>
              <a:ext uri="{FF2B5EF4-FFF2-40B4-BE49-F238E27FC236}">
                <a16:creationId xmlns:a16="http://schemas.microsoft.com/office/drawing/2014/main" id="{93F175FB-E47D-431D-A352-7E980AA8CF87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0" name="$C$1">
            <a:extLst>
              <a:ext uri="{FF2B5EF4-FFF2-40B4-BE49-F238E27FC236}">
                <a16:creationId xmlns:a16="http://schemas.microsoft.com/office/drawing/2014/main" id="{5AC09A40-0886-4B54-9CBE-F0F3F11196DC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1" name="$C$1">
            <a:extLst>
              <a:ext uri="{FF2B5EF4-FFF2-40B4-BE49-F238E27FC236}">
                <a16:creationId xmlns:a16="http://schemas.microsoft.com/office/drawing/2014/main" id="{166B0818-FDBA-4595-9F0D-C07125C66F9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2" name="$C$1">
            <a:extLst>
              <a:ext uri="{FF2B5EF4-FFF2-40B4-BE49-F238E27FC236}">
                <a16:creationId xmlns:a16="http://schemas.microsoft.com/office/drawing/2014/main" id="{7542BC41-7F32-4808-A4CD-BA43D54EF5AA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3" name="$C$1">
            <a:extLst>
              <a:ext uri="{FF2B5EF4-FFF2-40B4-BE49-F238E27FC236}">
                <a16:creationId xmlns:a16="http://schemas.microsoft.com/office/drawing/2014/main" id="{1FCDEAAF-CF11-4886-8C1C-A6629463965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4" name="$C$1">
            <a:extLst>
              <a:ext uri="{FF2B5EF4-FFF2-40B4-BE49-F238E27FC236}">
                <a16:creationId xmlns:a16="http://schemas.microsoft.com/office/drawing/2014/main" id="{870C2F59-E906-41F6-BFC2-55290207BD59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5" name="$C$1">
            <a:extLst>
              <a:ext uri="{FF2B5EF4-FFF2-40B4-BE49-F238E27FC236}">
                <a16:creationId xmlns:a16="http://schemas.microsoft.com/office/drawing/2014/main" id="{3EC1A807-4F6A-43C7-8EE9-DE2129F98AB3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6" name="$C$1">
            <a:extLst>
              <a:ext uri="{FF2B5EF4-FFF2-40B4-BE49-F238E27FC236}">
                <a16:creationId xmlns:a16="http://schemas.microsoft.com/office/drawing/2014/main" id="{B19591CA-6FC7-4443-941C-416DD97078C1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7" name="$C$1">
            <a:extLst>
              <a:ext uri="{FF2B5EF4-FFF2-40B4-BE49-F238E27FC236}">
                <a16:creationId xmlns:a16="http://schemas.microsoft.com/office/drawing/2014/main" id="{6D695AD1-367F-45CB-BDF9-B1DB44FCCCA2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8" name="$C$1">
            <a:extLst>
              <a:ext uri="{FF2B5EF4-FFF2-40B4-BE49-F238E27FC236}">
                <a16:creationId xmlns:a16="http://schemas.microsoft.com/office/drawing/2014/main" id="{41CA3A70-0401-4998-92D2-B35A52229E9F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29" name="$C$1">
            <a:extLst>
              <a:ext uri="{FF2B5EF4-FFF2-40B4-BE49-F238E27FC236}">
                <a16:creationId xmlns:a16="http://schemas.microsoft.com/office/drawing/2014/main" id="{5A208420-2F5A-4DB0-9471-5150F01BBCAB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0" name="$C$1">
            <a:extLst>
              <a:ext uri="{FF2B5EF4-FFF2-40B4-BE49-F238E27FC236}">
                <a16:creationId xmlns:a16="http://schemas.microsoft.com/office/drawing/2014/main" id="{E1925821-0960-495D-BA38-BD1E8E70EA9C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1" name="$C$1">
            <a:extLst>
              <a:ext uri="{FF2B5EF4-FFF2-40B4-BE49-F238E27FC236}">
                <a16:creationId xmlns:a16="http://schemas.microsoft.com/office/drawing/2014/main" id="{7CE6F073-12EA-4AE1-A08B-2C6630A051C9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2" name="$C$1">
            <a:extLst>
              <a:ext uri="{FF2B5EF4-FFF2-40B4-BE49-F238E27FC236}">
                <a16:creationId xmlns:a16="http://schemas.microsoft.com/office/drawing/2014/main" id="{5DC11831-A33C-47AE-8E8D-ABF026502754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3" name="$C$1">
            <a:extLst>
              <a:ext uri="{FF2B5EF4-FFF2-40B4-BE49-F238E27FC236}">
                <a16:creationId xmlns:a16="http://schemas.microsoft.com/office/drawing/2014/main" id="{7E0FAE93-C3D0-4E7B-AECF-3EDEAE8ECFD3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4" name="$C$1">
            <a:extLst>
              <a:ext uri="{FF2B5EF4-FFF2-40B4-BE49-F238E27FC236}">
                <a16:creationId xmlns:a16="http://schemas.microsoft.com/office/drawing/2014/main" id="{3CFAE3CE-8778-459F-B1F8-4491DF975FF1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5" name="$C$1">
            <a:extLst>
              <a:ext uri="{FF2B5EF4-FFF2-40B4-BE49-F238E27FC236}">
                <a16:creationId xmlns:a16="http://schemas.microsoft.com/office/drawing/2014/main" id="{5DC5AB46-6882-4F80-AD75-A1FBA7F5973C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6" name="$C$1">
            <a:extLst>
              <a:ext uri="{FF2B5EF4-FFF2-40B4-BE49-F238E27FC236}">
                <a16:creationId xmlns:a16="http://schemas.microsoft.com/office/drawing/2014/main" id="{0191D846-8931-44A1-876B-EDA83C2D4A19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7" name="$C$1">
            <a:extLst>
              <a:ext uri="{FF2B5EF4-FFF2-40B4-BE49-F238E27FC236}">
                <a16:creationId xmlns:a16="http://schemas.microsoft.com/office/drawing/2014/main" id="{88188743-4B05-489D-8623-F4F80D0F9A54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8" name="$C$1">
            <a:extLst>
              <a:ext uri="{FF2B5EF4-FFF2-40B4-BE49-F238E27FC236}">
                <a16:creationId xmlns:a16="http://schemas.microsoft.com/office/drawing/2014/main" id="{F77D87CF-EA0B-40B5-A561-0175DCB48453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39" name="$C$1">
            <a:extLst>
              <a:ext uri="{FF2B5EF4-FFF2-40B4-BE49-F238E27FC236}">
                <a16:creationId xmlns:a16="http://schemas.microsoft.com/office/drawing/2014/main" id="{21B4092A-E4F0-4CF4-A4B7-0FCEF391D6DE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0" name="$C$1">
            <a:extLst>
              <a:ext uri="{FF2B5EF4-FFF2-40B4-BE49-F238E27FC236}">
                <a16:creationId xmlns:a16="http://schemas.microsoft.com/office/drawing/2014/main" id="{B124F5AB-5C07-4688-B804-C26482335681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1" name="$C$1">
            <a:extLst>
              <a:ext uri="{FF2B5EF4-FFF2-40B4-BE49-F238E27FC236}">
                <a16:creationId xmlns:a16="http://schemas.microsoft.com/office/drawing/2014/main" id="{FB2FAA1B-8213-462E-B95F-325C4C116898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2" name="$C$1">
            <a:extLst>
              <a:ext uri="{FF2B5EF4-FFF2-40B4-BE49-F238E27FC236}">
                <a16:creationId xmlns:a16="http://schemas.microsoft.com/office/drawing/2014/main" id="{AF68B61C-8D78-4788-95C3-774DA57F1DC2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3" name="$C$1">
            <a:extLst>
              <a:ext uri="{FF2B5EF4-FFF2-40B4-BE49-F238E27FC236}">
                <a16:creationId xmlns:a16="http://schemas.microsoft.com/office/drawing/2014/main" id="{560C6579-A5FA-4ABD-ABF5-BB5A2CF028F4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4" name="$C$1">
            <a:extLst>
              <a:ext uri="{FF2B5EF4-FFF2-40B4-BE49-F238E27FC236}">
                <a16:creationId xmlns:a16="http://schemas.microsoft.com/office/drawing/2014/main" id="{64ABAF3B-4780-4385-8AEC-D102ECC8B15D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5" name="$C$1">
            <a:extLst>
              <a:ext uri="{FF2B5EF4-FFF2-40B4-BE49-F238E27FC236}">
                <a16:creationId xmlns:a16="http://schemas.microsoft.com/office/drawing/2014/main" id="{7C8F2728-C808-47DB-8AFD-C7B49F57D5DE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6" name="$C$1">
            <a:extLst>
              <a:ext uri="{FF2B5EF4-FFF2-40B4-BE49-F238E27FC236}">
                <a16:creationId xmlns:a16="http://schemas.microsoft.com/office/drawing/2014/main" id="{BFEC29F4-4990-48FE-8C54-8FFB402A58C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7" name="$C$1">
            <a:extLst>
              <a:ext uri="{FF2B5EF4-FFF2-40B4-BE49-F238E27FC236}">
                <a16:creationId xmlns:a16="http://schemas.microsoft.com/office/drawing/2014/main" id="{31DF092B-A743-4D48-988D-A83270FEC868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8" name="$C$1">
            <a:extLst>
              <a:ext uri="{FF2B5EF4-FFF2-40B4-BE49-F238E27FC236}">
                <a16:creationId xmlns:a16="http://schemas.microsoft.com/office/drawing/2014/main" id="{0F4D4784-DFAF-4207-80F4-7E0DB903C478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49" name="$C$1">
            <a:extLst>
              <a:ext uri="{FF2B5EF4-FFF2-40B4-BE49-F238E27FC236}">
                <a16:creationId xmlns:a16="http://schemas.microsoft.com/office/drawing/2014/main" id="{F907025A-64F8-4671-ACD5-56DE68312B42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0" name="$C$1">
            <a:extLst>
              <a:ext uri="{FF2B5EF4-FFF2-40B4-BE49-F238E27FC236}">
                <a16:creationId xmlns:a16="http://schemas.microsoft.com/office/drawing/2014/main" id="{F0807618-FD64-45F6-AA28-898336E66ABD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1" name="$C$1">
            <a:extLst>
              <a:ext uri="{FF2B5EF4-FFF2-40B4-BE49-F238E27FC236}">
                <a16:creationId xmlns:a16="http://schemas.microsoft.com/office/drawing/2014/main" id="{556FB934-435A-4FCB-84EA-86B56B3A49A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2" name="$C$1">
            <a:extLst>
              <a:ext uri="{FF2B5EF4-FFF2-40B4-BE49-F238E27FC236}">
                <a16:creationId xmlns:a16="http://schemas.microsoft.com/office/drawing/2014/main" id="{656857D8-AB19-4D53-9B6E-7081B6118664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3" name="$C$1">
            <a:extLst>
              <a:ext uri="{FF2B5EF4-FFF2-40B4-BE49-F238E27FC236}">
                <a16:creationId xmlns:a16="http://schemas.microsoft.com/office/drawing/2014/main" id="{F91ECADE-F154-4129-AE2C-CC8A5DB390B5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4" name="$C$1">
            <a:extLst>
              <a:ext uri="{FF2B5EF4-FFF2-40B4-BE49-F238E27FC236}">
                <a16:creationId xmlns:a16="http://schemas.microsoft.com/office/drawing/2014/main" id="{3C31911C-8722-4F1A-8777-9F826E70216D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5" name="$C$1">
            <a:extLst>
              <a:ext uri="{FF2B5EF4-FFF2-40B4-BE49-F238E27FC236}">
                <a16:creationId xmlns:a16="http://schemas.microsoft.com/office/drawing/2014/main" id="{E645AE00-AA61-4DB4-BEED-455238750BEE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6" name="$C$1">
            <a:extLst>
              <a:ext uri="{FF2B5EF4-FFF2-40B4-BE49-F238E27FC236}">
                <a16:creationId xmlns:a16="http://schemas.microsoft.com/office/drawing/2014/main" id="{49C5EB68-6987-48C1-AE89-93253FC5E07F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7" name="$C$1">
            <a:extLst>
              <a:ext uri="{FF2B5EF4-FFF2-40B4-BE49-F238E27FC236}">
                <a16:creationId xmlns:a16="http://schemas.microsoft.com/office/drawing/2014/main" id="{9CE1179F-E440-4594-B676-E7262F760F23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8" name="$C$1">
            <a:extLst>
              <a:ext uri="{FF2B5EF4-FFF2-40B4-BE49-F238E27FC236}">
                <a16:creationId xmlns:a16="http://schemas.microsoft.com/office/drawing/2014/main" id="{AA81C491-2C11-4265-B531-5D792A96F33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59" name="$C$1">
            <a:extLst>
              <a:ext uri="{FF2B5EF4-FFF2-40B4-BE49-F238E27FC236}">
                <a16:creationId xmlns:a16="http://schemas.microsoft.com/office/drawing/2014/main" id="{0546548A-C994-4E20-BCB3-4D0ACCEBA0C4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0" name="$C$1">
            <a:extLst>
              <a:ext uri="{FF2B5EF4-FFF2-40B4-BE49-F238E27FC236}">
                <a16:creationId xmlns:a16="http://schemas.microsoft.com/office/drawing/2014/main" id="{F6BF9CF5-024A-46EF-9D91-75EA6A772A2D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1" name="$C$1">
            <a:extLst>
              <a:ext uri="{FF2B5EF4-FFF2-40B4-BE49-F238E27FC236}">
                <a16:creationId xmlns:a16="http://schemas.microsoft.com/office/drawing/2014/main" id="{413DE0DA-B93F-44BA-8DB4-861CD7AC1346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2" name="$C$1">
            <a:extLst>
              <a:ext uri="{FF2B5EF4-FFF2-40B4-BE49-F238E27FC236}">
                <a16:creationId xmlns:a16="http://schemas.microsoft.com/office/drawing/2014/main" id="{7A3B7DE6-3565-422F-930D-209487408B22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3" name="$C$1">
            <a:extLst>
              <a:ext uri="{FF2B5EF4-FFF2-40B4-BE49-F238E27FC236}">
                <a16:creationId xmlns:a16="http://schemas.microsoft.com/office/drawing/2014/main" id="{404E55AD-0B5E-4D82-83D3-61FF806E2BD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4" name="$C$1">
            <a:extLst>
              <a:ext uri="{FF2B5EF4-FFF2-40B4-BE49-F238E27FC236}">
                <a16:creationId xmlns:a16="http://schemas.microsoft.com/office/drawing/2014/main" id="{0186D6BC-8B02-4C8F-AC30-717428948E75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5" name="$C$1">
            <a:extLst>
              <a:ext uri="{FF2B5EF4-FFF2-40B4-BE49-F238E27FC236}">
                <a16:creationId xmlns:a16="http://schemas.microsoft.com/office/drawing/2014/main" id="{5AE9C5B7-7050-4007-8F58-1B6B4388CA1E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6" name="$C$1">
            <a:extLst>
              <a:ext uri="{FF2B5EF4-FFF2-40B4-BE49-F238E27FC236}">
                <a16:creationId xmlns:a16="http://schemas.microsoft.com/office/drawing/2014/main" id="{0CA8FB78-0E9B-4C9C-979B-4B82CE1EA183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7" name="$C$1">
            <a:extLst>
              <a:ext uri="{FF2B5EF4-FFF2-40B4-BE49-F238E27FC236}">
                <a16:creationId xmlns:a16="http://schemas.microsoft.com/office/drawing/2014/main" id="{957FD8A8-B153-4BF2-AD2C-ABA334EB8593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8" name="$C$1">
            <a:extLst>
              <a:ext uri="{FF2B5EF4-FFF2-40B4-BE49-F238E27FC236}">
                <a16:creationId xmlns:a16="http://schemas.microsoft.com/office/drawing/2014/main" id="{5FD40766-E542-472B-BED5-30DD19E8934A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69" name="$C$1">
            <a:extLst>
              <a:ext uri="{FF2B5EF4-FFF2-40B4-BE49-F238E27FC236}">
                <a16:creationId xmlns:a16="http://schemas.microsoft.com/office/drawing/2014/main" id="{56A5D59B-A250-4826-B9C8-CA26699E2D6C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0" name="$C$1">
            <a:extLst>
              <a:ext uri="{FF2B5EF4-FFF2-40B4-BE49-F238E27FC236}">
                <a16:creationId xmlns:a16="http://schemas.microsoft.com/office/drawing/2014/main" id="{3D19BD0F-B8F2-4B5D-B0E5-9B859AF679B2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1" name="$C$1">
            <a:extLst>
              <a:ext uri="{FF2B5EF4-FFF2-40B4-BE49-F238E27FC236}">
                <a16:creationId xmlns:a16="http://schemas.microsoft.com/office/drawing/2014/main" id="{43B6D4B8-1DE2-4A41-815D-85C41353F893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2" name="$C$1">
            <a:extLst>
              <a:ext uri="{FF2B5EF4-FFF2-40B4-BE49-F238E27FC236}">
                <a16:creationId xmlns:a16="http://schemas.microsoft.com/office/drawing/2014/main" id="{1CBED60D-FB34-470D-AF29-93628C5B91F2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3" name="$C$1">
            <a:extLst>
              <a:ext uri="{FF2B5EF4-FFF2-40B4-BE49-F238E27FC236}">
                <a16:creationId xmlns:a16="http://schemas.microsoft.com/office/drawing/2014/main" id="{FF2E8B07-A18C-4D30-BA3E-78861779E8D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4" name="$C$1">
            <a:extLst>
              <a:ext uri="{FF2B5EF4-FFF2-40B4-BE49-F238E27FC236}">
                <a16:creationId xmlns:a16="http://schemas.microsoft.com/office/drawing/2014/main" id="{255C5130-24AB-400B-AAFF-F01F29B2E502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5" name="$C$1">
            <a:extLst>
              <a:ext uri="{FF2B5EF4-FFF2-40B4-BE49-F238E27FC236}">
                <a16:creationId xmlns:a16="http://schemas.microsoft.com/office/drawing/2014/main" id="{A74853D9-E695-4C3B-936F-7935439CDB38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6" name="$C$1">
            <a:extLst>
              <a:ext uri="{FF2B5EF4-FFF2-40B4-BE49-F238E27FC236}">
                <a16:creationId xmlns:a16="http://schemas.microsoft.com/office/drawing/2014/main" id="{3F83E0B3-F559-48ED-9F92-B9C9B2F601CD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7" name="$C$1">
            <a:extLst>
              <a:ext uri="{FF2B5EF4-FFF2-40B4-BE49-F238E27FC236}">
                <a16:creationId xmlns:a16="http://schemas.microsoft.com/office/drawing/2014/main" id="{F02E0128-2DF1-4D08-8185-26E6B8856038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8" name="$C$1">
            <a:extLst>
              <a:ext uri="{FF2B5EF4-FFF2-40B4-BE49-F238E27FC236}">
                <a16:creationId xmlns:a16="http://schemas.microsoft.com/office/drawing/2014/main" id="{7BD5E592-3556-41F5-976A-1914D66A542C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79" name="$C$1">
            <a:extLst>
              <a:ext uri="{FF2B5EF4-FFF2-40B4-BE49-F238E27FC236}">
                <a16:creationId xmlns:a16="http://schemas.microsoft.com/office/drawing/2014/main" id="{ABBECD31-682A-475F-B6F9-9847665FFFA5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0" name="$C$1">
            <a:extLst>
              <a:ext uri="{FF2B5EF4-FFF2-40B4-BE49-F238E27FC236}">
                <a16:creationId xmlns:a16="http://schemas.microsoft.com/office/drawing/2014/main" id="{2DAE265A-C574-4BAC-BA0E-BDB7235D3ADC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1" name="$C$1">
            <a:extLst>
              <a:ext uri="{FF2B5EF4-FFF2-40B4-BE49-F238E27FC236}">
                <a16:creationId xmlns:a16="http://schemas.microsoft.com/office/drawing/2014/main" id="{B72A5DCE-2768-4E76-98E4-C0D530E90FA8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2" name="$C$1">
            <a:extLst>
              <a:ext uri="{FF2B5EF4-FFF2-40B4-BE49-F238E27FC236}">
                <a16:creationId xmlns:a16="http://schemas.microsoft.com/office/drawing/2014/main" id="{340E81F0-04DF-43F5-B494-10729BBBF1F4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3" name="$C$1">
            <a:extLst>
              <a:ext uri="{FF2B5EF4-FFF2-40B4-BE49-F238E27FC236}">
                <a16:creationId xmlns:a16="http://schemas.microsoft.com/office/drawing/2014/main" id="{E82B8B8A-46D1-428F-8637-194F496B0BDF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4" name="$C$1">
            <a:extLst>
              <a:ext uri="{FF2B5EF4-FFF2-40B4-BE49-F238E27FC236}">
                <a16:creationId xmlns:a16="http://schemas.microsoft.com/office/drawing/2014/main" id="{8614457A-7272-48EB-8223-BF0947E57E64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5" name="$C$1">
            <a:extLst>
              <a:ext uri="{FF2B5EF4-FFF2-40B4-BE49-F238E27FC236}">
                <a16:creationId xmlns:a16="http://schemas.microsoft.com/office/drawing/2014/main" id="{98847380-C8B3-442E-88EF-1DEBBD8529C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6" name="$C$1">
            <a:extLst>
              <a:ext uri="{FF2B5EF4-FFF2-40B4-BE49-F238E27FC236}">
                <a16:creationId xmlns:a16="http://schemas.microsoft.com/office/drawing/2014/main" id="{966F6582-8B40-43F0-A3C5-8AA34E7DA965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7" name="$C$1">
            <a:extLst>
              <a:ext uri="{FF2B5EF4-FFF2-40B4-BE49-F238E27FC236}">
                <a16:creationId xmlns:a16="http://schemas.microsoft.com/office/drawing/2014/main" id="{66D985AA-7C89-4C00-A9CC-EBBE68BE9A5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8" name="$C$1">
            <a:extLst>
              <a:ext uri="{FF2B5EF4-FFF2-40B4-BE49-F238E27FC236}">
                <a16:creationId xmlns:a16="http://schemas.microsoft.com/office/drawing/2014/main" id="{77F67058-06C4-4FCC-960B-0DBFCCC47B0D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89" name="$C$1">
            <a:extLst>
              <a:ext uri="{FF2B5EF4-FFF2-40B4-BE49-F238E27FC236}">
                <a16:creationId xmlns:a16="http://schemas.microsoft.com/office/drawing/2014/main" id="{61259270-A5CD-412E-9EB3-632123D7AF67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0" name="$C$1">
            <a:extLst>
              <a:ext uri="{FF2B5EF4-FFF2-40B4-BE49-F238E27FC236}">
                <a16:creationId xmlns:a16="http://schemas.microsoft.com/office/drawing/2014/main" id="{7FD8B189-148E-4ED3-B298-F14608E6BA46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1" name="$C$1">
            <a:extLst>
              <a:ext uri="{FF2B5EF4-FFF2-40B4-BE49-F238E27FC236}">
                <a16:creationId xmlns:a16="http://schemas.microsoft.com/office/drawing/2014/main" id="{6363059A-474C-4F6D-8D81-F37DAD8AFDEC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2" name="$C$1">
            <a:extLst>
              <a:ext uri="{FF2B5EF4-FFF2-40B4-BE49-F238E27FC236}">
                <a16:creationId xmlns:a16="http://schemas.microsoft.com/office/drawing/2014/main" id="{709A3DDE-C81C-4B77-995E-F156603A80CB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3" name="$C$1">
            <a:extLst>
              <a:ext uri="{FF2B5EF4-FFF2-40B4-BE49-F238E27FC236}">
                <a16:creationId xmlns:a16="http://schemas.microsoft.com/office/drawing/2014/main" id="{15EBE444-554C-442F-B8A2-6A861A22D221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4" name="$C$1">
            <a:extLst>
              <a:ext uri="{FF2B5EF4-FFF2-40B4-BE49-F238E27FC236}">
                <a16:creationId xmlns:a16="http://schemas.microsoft.com/office/drawing/2014/main" id="{65CEDDEF-E2F0-4CAA-AFE5-DBA8F49676E5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5" name="$C$1">
            <a:extLst>
              <a:ext uri="{FF2B5EF4-FFF2-40B4-BE49-F238E27FC236}">
                <a16:creationId xmlns:a16="http://schemas.microsoft.com/office/drawing/2014/main" id="{8384C6F6-3403-4D59-8839-E87DC72896CB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6" name="$C$1">
            <a:extLst>
              <a:ext uri="{FF2B5EF4-FFF2-40B4-BE49-F238E27FC236}">
                <a16:creationId xmlns:a16="http://schemas.microsoft.com/office/drawing/2014/main" id="{13706579-0223-4AF0-B3B6-6B8472F05B1C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7" name="$C$1">
            <a:extLst>
              <a:ext uri="{FF2B5EF4-FFF2-40B4-BE49-F238E27FC236}">
                <a16:creationId xmlns:a16="http://schemas.microsoft.com/office/drawing/2014/main" id="{F4FF2B2E-836F-4D14-968D-68C90EF0A0BD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8" name="$C$1">
            <a:extLst>
              <a:ext uri="{FF2B5EF4-FFF2-40B4-BE49-F238E27FC236}">
                <a16:creationId xmlns:a16="http://schemas.microsoft.com/office/drawing/2014/main" id="{5B56640A-E326-4E2A-8E13-343B817E6F72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99" name="$C$1">
            <a:extLst>
              <a:ext uri="{FF2B5EF4-FFF2-40B4-BE49-F238E27FC236}">
                <a16:creationId xmlns:a16="http://schemas.microsoft.com/office/drawing/2014/main" id="{CB3D1720-E7F0-41F9-BD59-CCA21F5F3379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0" name="$C$1">
            <a:extLst>
              <a:ext uri="{FF2B5EF4-FFF2-40B4-BE49-F238E27FC236}">
                <a16:creationId xmlns:a16="http://schemas.microsoft.com/office/drawing/2014/main" id="{CBD11062-F288-43A0-96F1-3321C8A518D4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1" name="$C$1">
            <a:extLst>
              <a:ext uri="{FF2B5EF4-FFF2-40B4-BE49-F238E27FC236}">
                <a16:creationId xmlns:a16="http://schemas.microsoft.com/office/drawing/2014/main" id="{F822BB7B-3242-4262-987D-E90EAE07DC59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2" name="$C$1">
            <a:extLst>
              <a:ext uri="{FF2B5EF4-FFF2-40B4-BE49-F238E27FC236}">
                <a16:creationId xmlns:a16="http://schemas.microsoft.com/office/drawing/2014/main" id="{DB039C15-91B0-42A2-8497-290C392A2BAB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3" name="$C$1">
            <a:extLst>
              <a:ext uri="{FF2B5EF4-FFF2-40B4-BE49-F238E27FC236}">
                <a16:creationId xmlns:a16="http://schemas.microsoft.com/office/drawing/2014/main" id="{BEA7A65E-3D31-4504-B1AA-18B65A6E885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4" name="$C$1">
            <a:extLst>
              <a:ext uri="{FF2B5EF4-FFF2-40B4-BE49-F238E27FC236}">
                <a16:creationId xmlns:a16="http://schemas.microsoft.com/office/drawing/2014/main" id="{030742A6-10E9-4567-BA59-1CF81A7E182F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5" name="$C$1">
            <a:extLst>
              <a:ext uri="{FF2B5EF4-FFF2-40B4-BE49-F238E27FC236}">
                <a16:creationId xmlns:a16="http://schemas.microsoft.com/office/drawing/2014/main" id="{3AFCCABE-D657-4558-84AB-466C0EBB0ACE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6" name="$C$1">
            <a:extLst>
              <a:ext uri="{FF2B5EF4-FFF2-40B4-BE49-F238E27FC236}">
                <a16:creationId xmlns:a16="http://schemas.microsoft.com/office/drawing/2014/main" id="{435824F8-F68A-4D4D-AEF9-DAF8EABF91C1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7" name="$C$1">
            <a:extLst>
              <a:ext uri="{FF2B5EF4-FFF2-40B4-BE49-F238E27FC236}">
                <a16:creationId xmlns:a16="http://schemas.microsoft.com/office/drawing/2014/main" id="{023A1642-F90D-4493-A32C-F16ADB3BC033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8" name="$C$1">
            <a:extLst>
              <a:ext uri="{FF2B5EF4-FFF2-40B4-BE49-F238E27FC236}">
                <a16:creationId xmlns:a16="http://schemas.microsoft.com/office/drawing/2014/main" id="{0DBD1443-EA2E-486D-BDDF-E5BC72D6AA1B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09" name="$C$1">
            <a:extLst>
              <a:ext uri="{FF2B5EF4-FFF2-40B4-BE49-F238E27FC236}">
                <a16:creationId xmlns:a16="http://schemas.microsoft.com/office/drawing/2014/main" id="{9010EE3A-5663-4A49-A7DE-537AB41B7D27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0" name="$C$1">
            <a:extLst>
              <a:ext uri="{FF2B5EF4-FFF2-40B4-BE49-F238E27FC236}">
                <a16:creationId xmlns:a16="http://schemas.microsoft.com/office/drawing/2014/main" id="{DCECDD5D-AFDA-4EAD-B301-6CB3AB3FCAA9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1" name="$C$1">
            <a:extLst>
              <a:ext uri="{FF2B5EF4-FFF2-40B4-BE49-F238E27FC236}">
                <a16:creationId xmlns:a16="http://schemas.microsoft.com/office/drawing/2014/main" id="{731A5ADE-4503-490F-885D-3CB236BA283B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2" name="$C$1">
            <a:extLst>
              <a:ext uri="{FF2B5EF4-FFF2-40B4-BE49-F238E27FC236}">
                <a16:creationId xmlns:a16="http://schemas.microsoft.com/office/drawing/2014/main" id="{1ABF28E2-5B84-4897-B20E-ABBDDC3FE855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3" name="$C$1">
            <a:extLst>
              <a:ext uri="{FF2B5EF4-FFF2-40B4-BE49-F238E27FC236}">
                <a16:creationId xmlns:a16="http://schemas.microsoft.com/office/drawing/2014/main" id="{C1992644-730C-42E7-8C32-8004B908B451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4" name="$C$1">
            <a:extLst>
              <a:ext uri="{FF2B5EF4-FFF2-40B4-BE49-F238E27FC236}">
                <a16:creationId xmlns:a16="http://schemas.microsoft.com/office/drawing/2014/main" id="{5E106EA9-30AF-4CB7-B59D-68E7538632E4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5" name="$C$1">
            <a:extLst>
              <a:ext uri="{FF2B5EF4-FFF2-40B4-BE49-F238E27FC236}">
                <a16:creationId xmlns:a16="http://schemas.microsoft.com/office/drawing/2014/main" id="{66CC3AA3-66B6-45E1-9D77-8B49473B7AE5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6" name="$C$1">
            <a:extLst>
              <a:ext uri="{FF2B5EF4-FFF2-40B4-BE49-F238E27FC236}">
                <a16:creationId xmlns:a16="http://schemas.microsoft.com/office/drawing/2014/main" id="{9B76308B-F5F3-44D5-B36A-138D3067C0E8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7" name="$C$1">
            <a:extLst>
              <a:ext uri="{FF2B5EF4-FFF2-40B4-BE49-F238E27FC236}">
                <a16:creationId xmlns:a16="http://schemas.microsoft.com/office/drawing/2014/main" id="{1DF63A93-6709-4DC6-B9E4-99A29C5BA6D3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8" name="$C$1">
            <a:extLst>
              <a:ext uri="{FF2B5EF4-FFF2-40B4-BE49-F238E27FC236}">
                <a16:creationId xmlns:a16="http://schemas.microsoft.com/office/drawing/2014/main" id="{E2F71551-5810-43F0-A5C3-401215D2E767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19" name="$C$1">
            <a:extLst>
              <a:ext uri="{FF2B5EF4-FFF2-40B4-BE49-F238E27FC236}">
                <a16:creationId xmlns:a16="http://schemas.microsoft.com/office/drawing/2014/main" id="{74440BB4-E287-40BB-972A-47EFD7F22734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0" name="$C$1">
            <a:extLst>
              <a:ext uri="{FF2B5EF4-FFF2-40B4-BE49-F238E27FC236}">
                <a16:creationId xmlns:a16="http://schemas.microsoft.com/office/drawing/2014/main" id="{1F9B928D-28E8-4D30-A138-E28020F76B92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1" name="$C$1">
            <a:extLst>
              <a:ext uri="{FF2B5EF4-FFF2-40B4-BE49-F238E27FC236}">
                <a16:creationId xmlns:a16="http://schemas.microsoft.com/office/drawing/2014/main" id="{CA6CD8C5-1517-44D1-8C9C-385BD416A87A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2" name="$C$1">
            <a:extLst>
              <a:ext uri="{FF2B5EF4-FFF2-40B4-BE49-F238E27FC236}">
                <a16:creationId xmlns:a16="http://schemas.microsoft.com/office/drawing/2014/main" id="{97106DF1-9772-40CE-B2CF-6D0FFB50CE59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3" name="$C$1">
            <a:extLst>
              <a:ext uri="{FF2B5EF4-FFF2-40B4-BE49-F238E27FC236}">
                <a16:creationId xmlns:a16="http://schemas.microsoft.com/office/drawing/2014/main" id="{175E75D8-346B-46E5-BA1D-88EB94EC364D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4" name="$C$1">
            <a:extLst>
              <a:ext uri="{FF2B5EF4-FFF2-40B4-BE49-F238E27FC236}">
                <a16:creationId xmlns:a16="http://schemas.microsoft.com/office/drawing/2014/main" id="{F85A3299-C038-4228-92BE-809B643CFE84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5" name="$C$1">
            <a:extLst>
              <a:ext uri="{FF2B5EF4-FFF2-40B4-BE49-F238E27FC236}">
                <a16:creationId xmlns:a16="http://schemas.microsoft.com/office/drawing/2014/main" id="{429E177D-D165-473C-8F31-DBB51FE9325E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6" name="$C$1">
            <a:extLst>
              <a:ext uri="{FF2B5EF4-FFF2-40B4-BE49-F238E27FC236}">
                <a16:creationId xmlns:a16="http://schemas.microsoft.com/office/drawing/2014/main" id="{5BAEE78D-F39C-418A-AF2A-DA80F2F6496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7" name="$C$1">
            <a:extLst>
              <a:ext uri="{FF2B5EF4-FFF2-40B4-BE49-F238E27FC236}">
                <a16:creationId xmlns:a16="http://schemas.microsoft.com/office/drawing/2014/main" id="{1DBF1B1B-8C99-4A4D-9586-27CA6BA73143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8" name="$C$1">
            <a:extLst>
              <a:ext uri="{FF2B5EF4-FFF2-40B4-BE49-F238E27FC236}">
                <a16:creationId xmlns:a16="http://schemas.microsoft.com/office/drawing/2014/main" id="{E9312CBE-4A60-4CBD-8934-3E03725A2E74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29" name="$C$1">
            <a:extLst>
              <a:ext uri="{FF2B5EF4-FFF2-40B4-BE49-F238E27FC236}">
                <a16:creationId xmlns:a16="http://schemas.microsoft.com/office/drawing/2014/main" id="{C16F59B0-5988-4C73-B952-8530481D2097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0" name="$C$1">
            <a:extLst>
              <a:ext uri="{FF2B5EF4-FFF2-40B4-BE49-F238E27FC236}">
                <a16:creationId xmlns:a16="http://schemas.microsoft.com/office/drawing/2014/main" id="{727ED776-21DF-4261-B41F-C20D16AFD16F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1" name="$C$1">
            <a:extLst>
              <a:ext uri="{FF2B5EF4-FFF2-40B4-BE49-F238E27FC236}">
                <a16:creationId xmlns:a16="http://schemas.microsoft.com/office/drawing/2014/main" id="{717D7263-93C5-488C-A770-E8BBE21C92C1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2" name="$C$1">
            <a:extLst>
              <a:ext uri="{FF2B5EF4-FFF2-40B4-BE49-F238E27FC236}">
                <a16:creationId xmlns:a16="http://schemas.microsoft.com/office/drawing/2014/main" id="{D1AE0A7A-2526-448C-B08D-0A33F4406BBD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3" name="$C$1">
            <a:extLst>
              <a:ext uri="{FF2B5EF4-FFF2-40B4-BE49-F238E27FC236}">
                <a16:creationId xmlns:a16="http://schemas.microsoft.com/office/drawing/2014/main" id="{8C9CCA39-38C3-4E9C-8AF8-55E3B2F66C0B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4" name="$C$1">
            <a:extLst>
              <a:ext uri="{FF2B5EF4-FFF2-40B4-BE49-F238E27FC236}">
                <a16:creationId xmlns:a16="http://schemas.microsoft.com/office/drawing/2014/main" id="{C03AE898-BC36-427B-BCB8-40FBA6E6E73B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5" name="$C$1">
            <a:extLst>
              <a:ext uri="{FF2B5EF4-FFF2-40B4-BE49-F238E27FC236}">
                <a16:creationId xmlns:a16="http://schemas.microsoft.com/office/drawing/2014/main" id="{6E0929B6-FA3C-4AC6-B448-C24E354D27CF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6" name="$C$1">
            <a:extLst>
              <a:ext uri="{FF2B5EF4-FFF2-40B4-BE49-F238E27FC236}">
                <a16:creationId xmlns:a16="http://schemas.microsoft.com/office/drawing/2014/main" id="{46FFEE9F-6EE5-4E42-8D84-4FA9B9294C9D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7" name="$C$1">
            <a:extLst>
              <a:ext uri="{FF2B5EF4-FFF2-40B4-BE49-F238E27FC236}">
                <a16:creationId xmlns:a16="http://schemas.microsoft.com/office/drawing/2014/main" id="{61B918B9-B64E-4D3F-8297-9FF3397C3EEC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8" name="$C$1">
            <a:extLst>
              <a:ext uri="{FF2B5EF4-FFF2-40B4-BE49-F238E27FC236}">
                <a16:creationId xmlns:a16="http://schemas.microsoft.com/office/drawing/2014/main" id="{856ADD84-8667-4347-A06B-8AC6AC72BFA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39" name="$C$1">
            <a:extLst>
              <a:ext uri="{FF2B5EF4-FFF2-40B4-BE49-F238E27FC236}">
                <a16:creationId xmlns:a16="http://schemas.microsoft.com/office/drawing/2014/main" id="{03A2CFAC-0AA2-41DC-BF16-EF335F1FF3C2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0" name="$C$1">
            <a:extLst>
              <a:ext uri="{FF2B5EF4-FFF2-40B4-BE49-F238E27FC236}">
                <a16:creationId xmlns:a16="http://schemas.microsoft.com/office/drawing/2014/main" id="{0E0B635B-AB21-4F74-BB84-D844F27E43C1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1" name="$C$1">
            <a:extLst>
              <a:ext uri="{FF2B5EF4-FFF2-40B4-BE49-F238E27FC236}">
                <a16:creationId xmlns:a16="http://schemas.microsoft.com/office/drawing/2014/main" id="{55AAEFF1-FA7F-4B2F-AB7C-9D17730B54D3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2" name="$C$1">
            <a:extLst>
              <a:ext uri="{FF2B5EF4-FFF2-40B4-BE49-F238E27FC236}">
                <a16:creationId xmlns:a16="http://schemas.microsoft.com/office/drawing/2014/main" id="{3936A978-B19C-4E5E-B689-F2624FAC1FD8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3" name="$C$1">
            <a:extLst>
              <a:ext uri="{FF2B5EF4-FFF2-40B4-BE49-F238E27FC236}">
                <a16:creationId xmlns:a16="http://schemas.microsoft.com/office/drawing/2014/main" id="{4E1AE4ED-B922-4047-9970-75EB9D71D0DD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4" name="$C$1">
            <a:extLst>
              <a:ext uri="{FF2B5EF4-FFF2-40B4-BE49-F238E27FC236}">
                <a16:creationId xmlns:a16="http://schemas.microsoft.com/office/drawing/2014/main" id="{92D3CEFD-CF43-41E3-AF1E-5DF614FB9C0B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5" name="$C$1">
            <a:extLst>
              <a:ext uri="{FF2B5EF4-FFF2-40B4-BE49-F238E27FC236}">
                <a16:creationId xmlns:a16="http://schemas.microsoft.com/office/drawing/2014/main" id="{FB6081D9-7DB4-48E7-8AA3-0A82DE620996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6" name="$C$1">
            <a:extLst>
              <a:ext uri="{FF2B5EF4-FFF2-40B4-BE49-F238E27FC236}">
                <a16:creationId xmlns:a16="http://schemas.microsoft.com/office/drawing/2014/main" id="{66AD1B10-3B4F-48E2-917F-C563A8805C4D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7" name="$C$1">
            <a:extLst>
              <a:ext uri="{FF2B5EF4-FFF2-40B4-BE49-F238E27FC236}">
                <a16:creationId xmlns:a16="http://schemas.microsoft.com/office/drawing/2014/main" id="{920C8217-AB85-490B-9E69-9B0DED94365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8" name="$C$1">
            <a:extLst>
              <a:ext uri="{FF2B5EF4-FFF2-40B4-BE49-F238E27FC236}">
                <a16:creationId xmlns:a16="http://schemas.microsoft.com/office/drawing/2014/main" id="{57EBBB70-A32D-47B0-991C-106E4C392F1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49" name="$C$1">
            <a:extLst>
              <a:ext uri="{FF2B5EF4-FFF2-40B4-BE49-F238E27FC236}">
                <a16:creationId xmlns:a16="http://schemas.microsoft.com/office/drawing/2014/main" id="{63D81C4F-0D7D-43DA-9778-66B54E17F95E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0" name="$C$1">
            <a:extLst>
              <a:ext uri="{FF2B5EF4-FFF2-40B4-BE49-F238E27FC236}">
                <a16:creationId xmlns:a16="http://schemas.microsoft.com/office/drawing/2014/main" id="{F6D287F2-9490-4CBE-80D8-9824097F5804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1" name="$C$1">
            <a:extLst>
              <a:ext uri="{FF2B5EF4-FFF2-40B4-BE49-F238E27FC236}">
                <a16:creationId xmlns:a16="http://schemas.microsoft.com/office/drawing/2014/main" id="{2CAF95AB-BE05-475E-9D7D-5080BC9AE66C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2" name="$C$1">
            <a:extLst>
              <a:ext uri="{FF2B5EF4-FFF2-40B4-BE49-F238E27FC236}">
                <a16:creationId xmlns:a16="http://schemas.microsoft.com/office/drawing/2014/main" id="{A8A45C73-6A91-4685-AE90-54409BAF275D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3" name="$C$1">
            <a:extLst>
              <a:ext uri="{FF2B5EF4-FFF2-40B4-BE49-F238E27FC236}">
                <a16:creationId xmlns:a16="http://schemas.microsoft.com/office/drawing/2014/main" id="{F6343262-AFFE-459C-9C62-1D0D13C7D436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4" name="$C$1">
            <a:extLst>
              <a:ext uri="{FF2B5EF4-FFF2-40B4-BE49-F238E27FC236}">
                <a16:creationId xmlns:a16="http://schemas.microsoft.com/office/drawing/2014/main" id="{B1AC5C30-AE61-4FB0-AF4B-63D5AD4D5184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5" name="$C$1">
            <a:extLst>
              <a:ext uri="{FF2B5EF4-FFF2-40B4-BE49-F238E27FC236}">
                <a16:creationId xmlns:a16="http://schemas.microsoft.com/office/drawing/2014/main" id="{536B6CF1-7D2C-4824-A5E5-FB379C658DB3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6" name="$C$1">
            <a:extLst>
              <a:ext uri="{FF2B5EF4-FFF2-40B4-BE49-F238E27FC236}">
                <a16:creationId xmlns:a16="http://schemas.microsoft.com/office/drawing/2014/main" id="{34019815-D805-47E9-9DBC-837152E6F35D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7" name="$C$1">
            <a:extLst>
              <a:ext uri="{FF2B5EF4-FFF2-40B4-BE49-F238E27FC236}">
                <a16:creationId xmlns:a16="http://schemas.microsoft.com/office/drawing/2014/main" id="{991DF94A-437A-44D3-BABC-B0C2782C7805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8" name="$C$1">
            <a:extLst>
              <a:ext uri="{FF2B5EF4-FFF2-40B4-BE49-F238E27FC236}">
                <a16:creationId xmlns:a16="http://schemas.microsoft.com/office/drawing/2014/main" id="{34B42136-7A88-4E79-831E-E64DF7CADCB9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59" name="$C$1">
            <a:extLst>
              <a:ext uri="{FF2B5EF4-FFF2-40B4-BE49-F238E27FC236}">
                <a16:creationId xmlns:a16="http://schemas.microsoft.com/office/drawing/2014/main" id="{1A84FD4E-6276-4B0F-A1AD-D6B457150561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0" name="$C$1">
            <a:extLst>
              <a:ext uri="{FF2B5EF4-FFF2-40B4-BE49-F238E27FC236}">
                <a16:creationId xmlns:a16="http://schemas.microsoft.com/office/drawing/2014/main" id="{4D517813-FC6F-4230-9D08-CA2B4C7249D3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1" name="$C$1">
            <a:extLst>
              <a:ext uri="{FF2B5EF4-FFF2-40B4-BE49-F238E27FC236}">
                <a16:creationId xmlns:a16="http://schemas.microsoft.com/office/drawing/2014/main" id="{B489332C-F522-4276-A358-8E9F1341527B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2" name="$C$1">
            <a:extLst>
              <a:ext uri="{FF2B5EF4-FFF2-40B4-BE49-F238E27FC236}">
                <a16:creationId xmlns:a16="http://schemas.microsoft.com/office/drawing/2014/main" id="{181EE2E8-2DB6-4692-B4CA-BE8D9F6018A3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3" name="$C$1">
            <a:extLst>
              <a:ext uri="{FF2B5EF4-FFF2-40B4-BE49-F238E27FC236}">
                <a16:creationId xmlns:a16="http://schemas.microsoft.com/office/drawing/2014/main" id="{7E6D2012-E5D9-48EE-A052-C27CFF1D8C5F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4" name="$C$1">
            <a:extLst>
              <a:ext uri="{FF2B5EF4-FFF2-40B4-BE49-F238E27FC236}">
                <a16:creationId xmlns:a16="http://schemas.microsoft.com/office/drawing/2014/main" id="{953D6441-4955-469B-8493-1F7D82534297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14963</xdr:colOff>
      <xdr:row>0</xdr:row>
      <xdr:rowOff>14963</xdr:rowOff>
    </xdr:from>
    <xdr:to>
      <xdr:col>4</xdr:col>
      <xdr:colOff>1630957</xdr:colOff>
      <xdr:row>0</xdr:row>
      <xdr:rowOff>1409977</xdr:rowOff>
    </xdr:to>
    <xdr:grpSp>
      <xdr:nvGrpSpPr>
        <xdr:cNvPr id="40894" name="$E$1" descr="Code128 barcode, 9 characters" title="123456789">
          <a:extLst>
            <a:ext uri="{FF2B5EF4-FFF2-40B4-BE49-F238E27FC236}">
              <a16:creationId xmlns:a16="http://schemas.microsoft.com/office/drawing/2014/main" id="{01C20670-F87C-49FB-BD3A-758A1474C504}"/>
            </a:ext>
          </a:extLst>
        </xdr:cNvPr>
        <xdr:cNvGrpSpPr/>
      </xdr:nvGrpSpPr>
      <xdr:grpSpPr>
        <a:xfrm>
          <a:off x="6027143" y="14963"/>
          <a:ext cx="1615994" cy="1395014"/>
          <a:chOff x="0" y="0"/>
          <a:chExt cx="1282700" cy="12700"/>
        </a:xfrm>
      </xdr:grpSpPr>
      <xdr:sp macro="" textlink="">
        <xdr:nvSpPr>
          <xdr:cNvPr id="40866" name="$E$1">
            <a:extLst>
              <a:ext uri="{FF2B5EF4-FFF2-40B4-BE49-F238E27FC236}">
                <a16:creationId xmlns:a16="http://schemas.microsoft.com/office/drawing/2014/main" id="{6B420FC1-6FCC-4990-91ED-361A28185C9C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7" name="$E$1">
            <a:extLst>
              <a:ext uri="{FF2B5EF4-FFF2-40B4-BE49-F238E27FC236}">
                <a16:creationId xmlns:a16="http://schemas.microsoft.com/office/drawing/2014/main" id="{7E81B4F4-2727-4498-A496-F116C3982465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8" name="$E$1">
            <a:extLst>
              <a:ext uri="{FF2B5EF4-FFF2-40B4-BE49-F238E27FC236}">
                <a16:creationId xmlns:a16="http://schemas.microsoft.com/office/drawing/2014/main" id="{F2D39F75-C96D-4A1D-BAF1-CFA9D7606357}"/>
              </a:ext>
            </a:extLst>
          </xdr:cNvPr>
          <xdr:cNvSpPr/>
        </xdr:nvSpPr>
        <xdr:spPr>
          <a:xfrm>
            <a:off x="762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69" name="$E$1">
            <a:extLst>
              <a:ext uri="{FF2B5EF4-FFF2-40B4-BE49-F238E27FC236}">
                <a16:creationId xmlns:a16="http://schemas.microsoft.com/office/drawing/2014/main" id="{03250BF0-DE9C-44BE-B0AA-5FDE86788E1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0" name="$E$1">
            <a:extLst>
              <a:ext uri="{FF2B5EF4-FFF2-40B4-BE49-F238E27FC236}">
                <a16:creationId xmlns:a16="http://schemas.microsoft.com/office/drawing/2014/main" id="{F4B3E495-A119-42AE-8C38-56EC745548EB}"/>
              </a:ext>
            </a:extLst>
          </xdr:cNvPr>
          <xdr:cNvSpPr/>
        </xdr:nvSpPr>
        <xdr:spPr>
          <a:xfrm>
            <a:off x="1651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1" name="$E$1">
            <a:extLst>
              <a:ext uri="{FF2B5EF4-FFF2-40B4-BE49-F238E27FC236}">
                <a16:creationId xmlns:a16="http://schemas.microsoft.com/office/drawing/2014/main" id="{163B3E99-26F7-4111-A659-C909E0BBB81F}"/>
              </a:ext>
            </a:extLst>
          </xdr:cNvPr>
          <xdr:cNvSpPr/>
        </xdr:nvSpPr>
        <xdr:spPr>
          <a:xfrm>
            <a:off x="2159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2" name="$E$1">
            <a:extLst>
              <a:ext uri="{FF2B5EF4-FFF2-40B4-BE49-F238E27FC236}">
                <a16:creationId xmlns:a16="http://schemas.microsoft.com/office/drawing/2014/main" id="{D3160B21-0B70-41B5-A587-83519EF3F706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3" name="$E$1">
            <a:extLst>
              <a:ext uri="{FF2B5EF4-FFF2-40B4-BE49-F238E27FC236}">
                <a16:creationId xmlns:a16="http://schemas.microsoft.com/office/drawing/2014/main" id="{562FF4C0-17B8-4EBB-8FC4-B9486DC30374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4" name="$E$1">
            <a:extLst>
              <a:ext uri="{FF2B5EF4-FFF2-40B4-BE49-F238E27FC236}">
                <a16:creationId xmlns:a16="http://schemas.microsoft.com/office/drawing/2014/main" id="{7F6C3D11-76A4-4108-A255-BF15816F2FDA}"/>
              </a:ext>
            </a:extLst>
          </xdr:cNvPr>
          <xdr:cNvSpPr/>
        </xdr:nvSpPr>
        <xdr:spPr>
          <a:xfrm>
            <a:off x="3556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5" name="$E$1">
            <a:extLst>
              <a:ext uri="{FF2B5EF4-FFF2-40B4-BE49-F238E27FC236}">
                <a16:creationId xmlns:a16="http://schemas.microsoft.com/office/drawing/2014/main" id="{06D1D4ED-AFC7-4DB1-94FA-08A025F84B36}"/>
              </a:ext>
            </a:extLst>
          </xdr:cNvPr>
          <xdr:cNvSpPr/>
        </xdr:nvSpPr>
        <xdr:spPr>
          <a:xfrm>
            <a:off x="4191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6" name="$E$1">
            <a:extLst>
              <a:ext uri="{FF2B5EF4-FFF2-40B4-BE49-F238E27FC236}">
                <a16:creationId xmlns:a16="http://schemas.microsoft.com/office/drawing/2014/main" id="{7BA98160-059A-40C3-9F26-0BA8346A6A5C}"/>
              </a:ext>
            </a:extLst>
          </xdr:cNvPr>
          <xdr:cNvSpPr/>
        </xdr:nvSpPr>
        <xdr:spPr>
          <a:xfrm>
            <a:off x="4953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7" name="$E$1">
            <a:extLst>
              <a:ext uri="{FF2B5EF4-FFF2-40B4-BE49-F238E27FC236}">
                <a16:creationId xmlns:a16="http://schemas.microsoft.com/office/drawing/2014/main" id="{4D07A3FA-BDAC-481B-9CBB-281344CD2BCD}"/>
              </a:ext>
            </a:extLst>
          </xdr:cNvPr>
          <xdr:cNvSpPr/>
        </xdr:nvSpPr>
        <xdr:spPr>
          <a:xfrm>
            <a:off x="5207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8" name="$E$1">
            <a:extLst>
              <a:ext uri="{FF2B5EF4-FFF2-40B4-BE49-F238E27FC236}">
                <a16:creationId xmlns:a16="http://schemas.microsoft.com/office/drawing/2014/main" id="{30361A54-BD3B-44AC-8CBF-589961432B4B}"/>
              </a:ext>
            </a:extLst>
          </xdr:cNvPr>
          <xdr:cNvSpPr/>
        </xdr:nvSpPr>
        <xdr:spPr>
          <a:xfrm>
            <a:off x="5588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79" name="$E$1">
            <a:extLst>
              <a:ext uri="{FF2B5EF4-FFF2-40B4-BE49-F238E27FC236}">
                <a16:creationId xmlns:a16="http://schemas.microsoft.com/office/drawing/2014/main" id="{7D7C5DCB-99F0-41A9-B3F0-C6FE98C2686C}"/>
              </a:ext>
            </a:extLst>
          </xdr:cNvPr>
          <xdr:cNvSpPr/>
        </xdr:nvSpPr>
        <xdr:spPr>
          <a:xfrm>
            <a:off x="6350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0" name="$E$1">
            <a:extLst>
              <a:ext uri="{FF2B5EF4-FFF2-40B4-BE49-F238E27FC236}">
                <a16:creationId xmlns:a16="http://schemas.microsoft.com/office/drawing/2014/main" id="{97696351-B355-402C-86F1-0056E53C80F9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1" name="$E$1">
            <a:extLst>
              <a:ext uri="{FF2B5EF4-FFF2-40B4-BE49-F238E27FC236}">
                <a16:creationId xmlns:a16="http://schemas.microsoft.com/office/drawing/2014/main" id="{6CCC45A9-329D-48B2-ADAF-DB1FEFFD21A2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2" name="$E$1">
            <a:extLst>
              <a:ext uri="{FF2B5EF4-FFF2-40B4-BE49-F238E27FC236}">
                <a16:creationId xmlns:a16="http://schemas.microsoft.com/office/drawing/2014/main" id="{57C213EA-D100-42AD-89D9-0870D1D02BD0}"/>
              </a:ext>
            </a:extLst>
          </xdr:cNvPr>
          <xdr:cNvSpPr/>
        </xdr:nvSpPr>
        <xdr:spPr>
          <a:xfrm>
            <a:off x="7239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3" name="$E$1">
            <a:extLst>
              <a:ext uri="{FF2B5EF4-FFF2-40B4-BE49-F238E27FC236}">
                <a16:creationId xmlns:a16="http://schemas.microsoft.com/office/drawing/2014/main" id="{9A11F745-7AE6-4EC7-853F-493CE3C8C7AE}"/>
              </a:ext>
            </a:extLst>
          </xdr:cNvPr>
          <xdr:cNvSpPr/>
        </xdr:nvSpPr>
        <xdr:spPr>
          <a:xfrm>
            <a:off x="7874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4" name="$E$1">
            <a:extLst>
              <a:ext uri="{FF2B5EF4-FFF2-40B4-BE49-F238E27FC236}">
                <a16:creationId xmlns:a16="http://schemas.microsoft.com/office/drawing/2014/main" id="{EA0EDFE8-4EFA-44F4-B33B-B4277B2BF010}"/>
              </a:ext>
            </a:extLst>
          </xdr:cNvPr>
          <xdr:cNvSpPr/>
        </xdr:nvSpPr>
        <xdr:spPr>
          <a:xfrm>
            <a:off x="8382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5" name="$E$1">
            <a:extLst>
              <a:ext uri="{FF2B5EF4-FFF2-40B4-BE49-F238E27FC236}">
                <a16:creationId xmlns:a16="http://schemas.microsoft.com/office/drawing/2014/main" id="{1C4A1D6A-5049-4B4B-ABD9-B40804BD5974}"/>
              </a:ext>
            </a:extLst>
          </xdr:cNvPr>
          <xdr:cNvSpPr/>
        </xdr:nvSpPr>
        <xdr:spPr>
          <a:xfrm>
            <a:off x="901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6" name="$E$1">
            <a:extLst>
              <a:ext uri="{FF2B5EF4-FFF2-40B4-BE49-F238E27FC236}">
                <a16:creationId xmlns:a16="http://schemas.microsoft.com/office/drawing/2014/main" id="{DBAD9FE4-CC93-4DA6-B1AA-7E497B613646}"/>
              </a:ext>
            </a:extLst>
          </xdr:cNvPr>
          <xdr:cNvSpPr/>
        </xdr:nvSpPr>
        <xdr:spPr>
          <a:xfrm>
            <a:off x="9271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7" name="$E$1">
            <a:extLst>
              <a:ext uri="{FF2B5EF4-FFF2-40B4-BE49-F238E27FC236}">
                <a16:creationId xmlns:a16="http://schemas.microsoft.com/office/drawing/2014/main" id="{1B11F39E-1579-416D-B7FA-54791FABAC18}"/>
              </a:ext>
            </a:extLst>
          </xdr:cNvPr>
          <xdr:cNvSpPr/>
        </xdr:nvSpPr>
        <xdr:spPr>
          <a:xfrm>
            <a:off x="9779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8" name="$E$1">
            <a:extLst>
              <a:ext uri="{FF2B5EF4-FFF2-40B4-BE49-F238E27FC236}">
                <a16:creationId xmlns:a16="http://schemas.microsoft.com/office/drawing/2014/main" id="{4FF055E2-79FE-40A2-9C26-A690FD3E6FB3}"/>
              </a:ext>
            </a:extLst>
          </xdr:cNvPr>
          <xdr:cNvSpPr/>
        </xdr:nvSpPr>
        <xdr:spPr>
          <a:xfrm>
            <a:off x="10287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89" name="$E$1">
            <a:extLst>
              <a:ext uri="{FF2B5EF4-FFF2-40B4-BE49-F238E27FC236}">
                <a16:creationId xmlns:a16="http://schemas.microsoft.com/office/drawing/2014/main" id="{153C6877-717B-419A-BB24-B49D24591862}"/>
              </a:ext>
            </a:extLst>
          </xdr:cNvPr>
          <xdr:cNvSpPr/>
        </xdr:nvSpPr>
        <xdr:spPr>
          <a:xfrm>
            <a:off x="1092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0" name="$E$1">
            <a:extLst>
              <a:ext uri="{FF2B5EF4-FFF2-40B4-BE49-F238E27FC236}">
                <a16:creationId xmlns:a16="http://schemas.microsoft.com/office/drawing/2014/main" id="{1755D58D-EE80-4556-B518-6F6A433121AF}"/>
              </a:ext>
            </a:extLst>
          </xdr:cNvPr>
          <xdr:cNvSpPr/>
        </xdr:nvSpPr>
        <xdr:spPr>
          <a:xfrm>
            <a:off x="11176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1" name="$E$1">
            <a:extLst>
              <a:ext uri="{FF2B5EF4-FFF2-40B4-BE49-F238E27FC236}">
                <a16:creationId xmlns:a16="http://schemas.microsoft.com/office/drawing/2014/main" id="{2448764A-31AA-4AC8-9269-928EB5A6FB5C}"/>
              </a:ext>
            </a:extLst>
          </xdr:cNvPr>
          <xdr:cNvSpPr/>
        </xdr:nvSpPr>
        <xdr:spPr>
          <a:xfrm>
            <a:off x="11811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2" name="$E$1">
            <a:extLst>
              <a:ext uri="{FF2B5EF4-FFF2-40B4-BE49-F238E27FC236}">
                <a16:creationId xmlns:a16="http://schemas.microsoft.com/office/drawing/2014/main" id="{C951F94A-5C46-462C-A58E-3B47D6247584}"/>
              </a:ext>
            </a:extLst>
          </xdr:cNvPr>
          <xdr:cNvSpPr/>
        </xdr:nvSpPr>
        <xdr:spPr>
          <a:xfrm>
            <a:off x="12319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3" name="$E$1">
            <a:extLst>
              <a:ext uri="{FF2B5EF4-FFF2-40B4-BE49-F238E27FC236}">
                <a16:creationId xmlns:a16="http://schemas.microsoft.com/office/drawing/2014/main" id="{73E23F9B-F968-40A9-9887-1A05D1448DE7}"/>
              </a:ext>
            </a:extLst>
          </xdr:cNvPr>
          <xdr:cNvSpPr/>
        </xdr:nvSpPr>
        <xdr:spPr>
          <a:xfrm>
            <a:off x="12573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76200</xdr:colOff>
      <xdr:row>0</xdr:row>
      <xdr:rowOff>140970</xdr:rowOff>
    </xdr:from>
    <xdr:to>
      <xdr:col>5</xdr:col>
      <xdr:colOff>1219200</xdr:colOff>
      <xdr:row>0</xdr:row>
      <xdr:rowOff>1283970</xdr:rowOff>
    </xdr:to>
    <xdr:grpSp>
      <xdr:nvGrpSpPr>
        <xdr:cNvPr id="41016" name="$F$1" descr="Aztec compact barcode, security 59%, layers 1, 15x15 cells" title="123456789">
          <a:extLst>
            <a:ext uri="{FF2B5EF4-FFF2-40B4-BE49-F238E27FC236}">
              <a16:creationId xmlns:a16="http://schemas.microsoft.com/office/drawing/2014/main" id="{F6AF970E-2E0E-4EDA-B2EC-5A27AB3D41E7}"/>
            </a:ext>
          </a:extLst>
        </xdr:cNvPr>
        <xdr:cNvGrpSpPr>
          <a:grpSpLocks noChangeAspect="1"/>
        </xdr:cNvGrpSpPr>
      </xdr:nvGrpSpPr>
      <xdr:grpSpPr>
        <a:xfrm>
          <a:off x="7734300" y="140970"/>
          <a:ext cx="1143000" cy="1143000"/>
          <a:chOff x="0" y="0"/>
          <a:chExt cx="190500" cy="190500"/>
        </a:xfrm>
      </xdr:grpSpPr>
      <xdr:sp macro="" textlink="">
        <xdr:nvSpPr>
          <xdr:cNvPr id="40895" name="$F$1">
            <a:extLst>
              <a:ext uri="{FF2B5EF4-FFF2-40B4-BE49-F238E27FC236}">
                <a16:creationId xmlns:a16="http://schemas.microsoft.com/office/drawing/2014/main" id="{9EBFCB4A-8BF2-44DE-A8D3-BA5ED121296B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6" name="$F$1">
            <a:extLst>
              <a:ext uri="{FF2B5EF4-FFF2-40B4-BE49-F238E27FC236}">
                <a16:creationId xmlns:a16="http://schemas.microsoft.com/office/drawing/2014/main" id="{74086857-23DC-4704-84E0-E124897259E2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7" name="$F$1">
            <a:extLst>
              <a:ext uri="{FF2B5EF4-FFF2-40B4-BE49-F238E27FC236}">
                <a16:creationId xmlns:a16="http://schemas.microsoft.com/office/drawing/2014/main" id="{45589AFB-6EF2-4FDB-BEF8-8682EB08FEA7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8" name="$F$1">
            <a:extLst>
              <a:ext uri="{FF2B5EF4-FFF2-40B4-BE49-F238E27FC236}">
                <a16:creationId xmlns:a16="http://schemas.microsoft.com/office/drawing/2014/main" id="{0564736E-E9A5-47FD-8407-E889D86A7545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99" name="$F$1">
            <a:extLst>
              <a:ext uri="{FF2B5EF4-FFF2-40B4-BE49-F238E27FC236}">
                <a16:creationId xmlns:a16="http://schemas.microsoft.com/office/drawing/2014/main" id="{6E1A2A80-F538-4E0E-AB3D-E0E246189D5B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0" name="$F$1">
            <a:extLst>
              <a:ext uri="{FF2B5EF4-FFF2-40B4-BE49-F238E27FC236}">
                <a16:creationId xmlns:a16="http://schemas.microsoft.com/office/drawing/2014/main" id="{FC9D1553-4601-4184-982D-DF2F6F9D9108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1" name="$F$1">
            <a:extLst>
              <a:ext uri="{FF2B5EF4-FFF2-40B4-BE49-F238E27FC236}">
                <a16:creationId xmlns:a16="http://schemas.microsoft.com/office/drawing/2014/main" id="{DD887D37-762C-4E43-95E3-1513A3A18A3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2" name="$F$1">
            <a:extLst>
              <a:ext uri="{FF2B5EF4-FFF2-40B4-BE49-F238E27FC236}">
                <a16:creationId xmlns:a16="http://schemas.microsoft.com/office/drawing/2014/main" id="{8AEA00F2-E20F-4E4B-AD68-B5326B190986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3" name="$F$1">
            <a:extLst>
              <a:ext uri="{FF2B5EF4-FFF2-40B4-BE49-F238E27FC236}">
                <a16:creationId xmlns:a16="http://schemas.microsoft.com/office/drawing/2014/main" id="{64B8E0F4-5A20-4390-B975-5485384DA3D1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4" name="$F$1">
            <a:extLst>
              <a:ext uri="{FF2B5EF4-FFF2-40B4-BE49-F238E27FC236}">
                <a16:creationId xmlns:a16="http://schemas.microsoft.com/office/drawing/2014/main" id="{CD8F377B-6071-4686-8AB1-3531EE35FBFE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5" name="$F$1">
            <a:extLst>
              <a:ext uri="{FF2B5EF4-FFF2-40B4-BE49-F238E27FC236}">
                <a16:creationId xmlns:a16="http://schemas.microsoft.com/office/drawing/2014/main" id="{9A2589B8-5F8D-4DB0-A3AD-C934B5F3B195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6" name="$F$1">
            <a:extLst>
              <a:ext uri="{FF2B5EF4-FFF2-40B4-BE49-F238E27FC236}">
                <a16:creationId xmlns:a16="http://schemas.microsoft.com/office/drawing/2014/main" id="{89C51E2A-F85F-4F4C-9C4A-81B71826ECFF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7" name="$F$1">
            <a:extLst>
              <a:ext uri="{FF2B5EF4-FFF2-40B4-BE49-F238E27FC236}">
                <a16:creationId xmlns:a16="http://schemas.microsoft.com/office/drawing/2014/main" id="{FAE4DB71-83D5-460A-AE2E-1585577FDF11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8" name="$F$1">
            <a:extLst>
              <a:ext uri="{FF2B5EF4-FFF2-40B4-BE49-F238E27FC236}">
                <a16:creationId xmlns:a16="http://schemas.microsoft.com/office/drawing/2014/main" id="{24DAA19A-C006-424E-8093-D78F0A298E2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09" name="$F$1">
            <a:extLst>
              <a:ext uri="{FF2B5EF4-FFF2-40B4-BE49-F238E27FC236}">
                <a16:creationId xmlns:a16="http://schemas.microsoft.com/office/drawing/2014/main" id="{046A399D-4ED1-45BC-A48A-C6F6BC9F6384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0" name="$F$1">
            <a:extLst>
              <a:ext uri="{FF2B5EF4-FFF2-40B4-BE49-F238E27FC236}">
                <a16:creationId xmlns:a16="http://schemas.microsoft.com/office/drawing/2014/main" id="{C1A0B6B2-D4F3-4DAB-893D-F3D488CFB17D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1" name="$F$1">
            <a:extLst>
              <a:ext uri="{FF2B5EF4-FFF2-40B4-BE49-F238E27FC236}">
                <a16:creationId xmlns:a16="http://schemas.microsoft.com/office/drawing/2014/main" id="{7011FFAC-84B4-401A-9928-13F353AC2BC1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2" name="$F$1">
            <a:extLst>
              <a:ext uri="{FF2B5EF4-FFF2-40B4-BE49-F238E27FC236}">
                <a16:creationId xmlns:a16="http://schemas.microsoft.com/office/drawing/2014/main" id="{2051C118-765F-4BFB-9131-3C6CDF55A69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3" name="$F$1">
            <a:extLst>
              <a:ext uri="{FF2B5EF4-FFF2-40B4-BE49-F238E27FC236}">
                <a16:creationId xmlns:a16="http://schemas.microsoft.com/office/drawing/2014/main" id="{C84B0D9A-36A0-4771-8362-DD3E939075FA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4" name="$F$1">
            <a:extLst>
              <a:ext uri="{FF2B5EF4-FFF2-40B4-BE49-F238E27FC236}">
                <a16:creationId xmlns:a16="http://schemas.microsoft.com/office/drawing/2014/main" id="{5546AE46-584F-430F-8910-5A93C2776ABC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5" name="$F$1">
            <a:extLst>
              <a:ext uri="{FF2B5EF4-FFF2-40B4-BE49-F238E27FC236}">
                <a16:creationId xmlns:a16="http://schemas.microsoft.com/office/drawing/2014/main" id="{47AC996D-BBC3-45B9-BEE1-903518446244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6" name="$F$1">
            <a:extLst>
              <a:ext uri="{FF2B5EF4-FFF2-40B4-BE49-F238E27FC236}">
                <a16:creationId xmlns:a16="http://schemas.microsoft.com/office/drawing/2014/main" id="{A0406664-6698-4881-B2FB-9010ABA6B799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7" name="$F$1">
            <a:extLst>
              <a:ext uri="{FF2B5EF4-FFF2-40B4-BE49-F238E27FC236}">
                <a16:creationId xmlns:a16="http://schemas.microsoft.com/office/drawing/2014/main" id="{9890A569-A3B7-4031-A154-8902AC0496D2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8" name="$F$1">
            <a:extLst>
              <a:ext uri="{FF2B5EF4-FFF2-40B4-BE49-F238E27FC236}">
                <a16:creationId xmlns:a16="http://schemas.microsoft.com/office/drawing/2014/main" id="{985161AF-886C-4255-8890-28EB2D45BF1C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19" name="$F$1">
            <a:extLst>
              <a:ext uri="{FF2B5EF4-FFF2-40B4-BE49-F238E27FC236}">
                <a16:creationId xmlns:a16="http://schemas.microsoft.com/office/drawing/2014/main" id="{B9E55B20-709A-4744-8B90-8C79C46B0579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0" name="$F$1">
            <a:extLst>
              <a:ext uri="{FF2B5EF4-FFF2-40B4-BE49-F238E27FC236}">
                <a16:creationId xmlns:a16="http://schemas.microsoft.com/office/drawing/2014/main" id="{C70B82B2-C348-4E36-B5D4-58D18B88AE22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1" name="$F$1">
            <a:extLst>
              <a:ext uri="{FF2B5EF4-FFF2-40B4-BE49-F238E27FC236}">
                <a16:creationId xmlns:a16="http://schemas.microsoft.com/office/drawing/2014/main" id="{7EC39073-F2CD-41DD-9607-0CDF4B4EECD6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2" name="$F$1">
            <a:extLst>
              <a:ext uri="{FF2B5EF4-FFF2-40B4-BE49-F238E27FC236}">
                <a16:creationId xmlns:a16="http://schemas.microsoft.com/office/drawing/2014/main" id="{A191637E-C9B9-4EA6-8D41-9ABA983DDBCC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3" name="$F$1">
            <a:extLst>
              <a:ext uri="{FF2B5EF4-FFF2-40B4-BE49-F238E27FC236}">
                <a16:creationId xmlns:a16="http://schemas.microsoft.com/office/drawing/2014/main" id="{AF0CADC5-4257-4546-80DB-3781CD34370E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4" name="$F$1">
            <a:extLst>
              <a:ext uri="{FF2B5EF4-FFF2-40B4-BE49-F238E27FC236}">
                <a16:creationId xmlns:a16="http://schemas.microsoft.com/office/drawing/2014/main" id="{C7164D0B-FBDD-4F3D-9598-44504145C571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5" name="$F$1">
            <a:extLst>
              <a:ext uri="{FF2B5EF4-FFF2-40B4-BE49-F238E27FC236}">
                <a16:creationId xmlns:a16="http://schemas.microsoft.com/office/drawing/2014/main" id="{1BFF53B0-2A0F-4873-BC64-F1DA2F4C9838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6" name="$F$1">
            <a:extLst>
              <a:ext uri="{FF2B5EF4-FFF2-40B4-BE49-F238E27FC236}">
                <a16:creationId xmlns:a16="http://schemas.microsoft.com/office/drawing/2014/main" id="{7937F87F-3692-43EE-A3FA-1E6760D5C587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7" name="$F$1">
            <a:extLst>
              <a:ext uri="{FF2B5EF4-FFF2-40B4-BE49-F238E27FC236}">
                <a16:creationId xmlns:a16="http://schemas.microsoft.com/office/drawing/2014/main" id="{865ECC2F-00BA-440D-86BC-331B05139F82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8" name="$F$1">
            <a:extLst>
              <a:ext uri="{FF2B5EF4-FFF2-40B4-BE49-F238E27FC236}">
                <a16:creationId xmlns:a16="http://schemas.microsoft.com/office/drawing/2014/main" id="{8DA42D91-BFD7-4CA7-842F-94A15A6D8284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29" name="$F$1">
            <a:extLst>
              <a:ext uri="{FF2B5EF4-FFF2-40B4-BE49-F238E27FC236}">
                <a16:creationId xmlns:a16="http://schemas.microsoft.com/office/drawing/2014/main" id="{EE9178D9-C7F0-43D8-876A-F3DF429DF31A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0" name="$F$1">
            <a:extLst>
              <a:ext uri="{FF2B5EF4-FFF2-40B4-BE49-F238E27FC236}">
                <a16:creationId xmlns:a16="http://schemas.microsoft.com/office/drawing/2014/main" id="{CA2AC00A-B504-4C93-A673-F6C4C43936F2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1" name="$F$1">
            <a:extLst>
              <a:ext uri="{FF2B5EF4-FFF2-40B4-BE49-F238E27FC236}">
                <a16:creationId xmlns:a16="http://schemas.microsoft.com/office/drawing/2014/main" id="{74B80443-7789-485B-B433-F992951A1275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2" name="$F$1">
            <a:extLst>
              <a:ext uri="{FF2B5EF4-FFF2-40B4-BE49-F238E27FC236}">
                <a16:creationId xmlns:a16="http://schemas.microsoft.com/office/drawing/2014/main" id="{050DE22D-397F-4A5F-928D-4EF6D3E24B0C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3" name="$F$1">
            <a:extLst>
              <a:ext uri="{FF2B5EF4-FFF2-40B4-BE49-F238E27FC236}">
                <a16:creationId xmlns:a16="http://schemas.microsoft.com/office/drawing/2014/main" id="{53F7289C-E7DE-40C2-979C-4FAF5CCDBD2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4" name="$F$1">
            <a:extLst>
              <a:ext uri="{FF2B5EF4-FFF2-40B4-BE49-F238E27FC236}">
                <a16:creationId xmlns:a16="http://schemas.microsoft.com/office/drawing/2014/main" id="{37F6744B-A8A0-416B-93BC-6C2A1558D7DA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5" name="$F$1">
            <a:extLst>
              <a:ext uri="{FF2B5EF4-FFF2-40B4-BE49-F238E27FC236}">
                <a16:creationId xmlns:a16="http://schemas.microsoft.com/office/drawing/2014/main" id="{C3E5D267-2005-4BCF-BCDA-6A95A8D6DA2F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6" name="$F$1">
            <a:extLst>
              <a:ext uri="{FF2B5EF4-FFF2-40B4-BE49-F238E27FC236}">
                <a16:creationId xmlns:a16="http://schemas.microsoft.com/office/drawing/2014/main" id="{B6B4AE30-BF89-4C82-BD59-94924D4B99FB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7" name="$F$1">
            <a:extLst>
              <a:ext uri="{FF2B5EF4-FFF2-40B4-BE49-F238E27FC236}">
                <a16:creationId xmlns:a16="http://schemas.microsoft.com/office/drawing/2014/main" id="{06DD8220-B8BF-4D65-ABF5-888437C8647C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8" name="$F$1">
            <a:extLst>
              <a:ext uri="{FF2B5EF4-FFF2-40B4-BE49-F238E27FC236}">
                <a16:creationId xmlns:a16="http://schemas.microsoft.com/office/drawing/2014/main" id="{F3A44C38-0D82-4857-A36B-ECE7C00BE283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39" name="$F$1">
            <a:extLst>
              <a:ext uri="{FF2B5EF4-FFF2-40B4-BE49-F238E27FC236}">
                <a16:creationId xmlns:a16="http://schemas.microsoft.com/office/drawing/2014/main" id="{FB7B5C9B-F992-425B-9739-16CDCE6110BB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0" name="$F$1">
            <a:extLst>
              <a:ext uri="{FF2B5EF4-FFF2-40B4-BE49-F238E27FC236}">
                <a16:creationId xmlns:a16="http://schemas.microsoft.com/office/drawing/2014/main" id="{78A25346-E8EA-4208-97A9-A20F180C6D0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1" name="$F$1">
            <a:extLst>
              <a:ext uri="{FF2B5EF4-FFF2-40B4-BE49-F238E27FC236}">
                <a16:creationId xmlns:a16="http://schemas.microsoft.com/office/drawing/2014/main" id="{72BED026-E1FC-4B40-848E-1C674E154E64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2" name="$F$1">
            <a:extLst>
              <a:ext uri="{FF2B5EF4-FFF2-40B4-BE49-F238E27FC236}">
                <a16:creationId xmlns:a16="http://schemas.microsoft.com/office/drawing/2014/main" id="{FE0AD668-23CA-465C-AC91-224E142F0E2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3" name="$F$1">
            <a:extLst>
              <a:ext uri="{FF2B5EF4-FFF2-40B4-BE49-F238E27FC236}">
                <a16:creationId xmlns:a16="http://schemas.microsoft.com/office/drawing/2014/main" id="{A0F66DA2-C3B0-4E71-B9AD-8E3B7EC77E64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4" name="$F$1">
            <a:extLst>
              <a:ext uri="{FF2B5EF4-FFF2-40B4-BE49-F238E27FC236}">
                <a16:creationId xmlns:a16="http://schemas.microsoft.com/office/drawing/2014/main" id="{44C55B91-07B4-4306-8C4D-BC39349514FB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5" name="$F$1">
            <a:extLst>
              <a:ext uri="{FF2B5EF4-FFF2-40B4-BE49-F238E27FC236}">
                <a16:creationId xmlns:a16="http://schemas.microsoft.com/office/drawing/2014/main" id="{BE253D6E-433E-42D3-8F59-911C68A0F72A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6" name="$F$1">
            <a:extLst>
              <a:ext uri="{FF2B5EF4-FFF2-40B4-BE49-F238E27FC236}">
                <a16:creationId xmlns:a16="http://schemas.microsoft.com/office/drawing/2014/main" id="{FF945E70-D2EC-4467-9D4B-AF7B9A71AB04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7" name="$F$1">
            <a:extLst>
              <a:ext uri="{FF2B5EF4-FFF2-40B4-BE49-F238E27FC236}">
                <a16:creationId xmlns:a16="http://schemas.microsoft.com/office/drawing/2014/main" id="{401F2295-74E2-41EC-BFB2-F0E33BD732B8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8" name="$F$1">
            <a:extLst>
              <a:ext uri="{FF2B5EF4-FFF2-40B4-BE49-F238E27FC236}">
                <a16:creationId xmlns:a16="http://schemas.microsoft.com/office/drawing/2014/main" id="{63133AFF-41D7-4A57-A97D-C407FA47ED9A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49" name="$F$1">
            <a:extLst>
              <a:ext uri="{FF2B5EF4-FFF2-40B4-BE49-F238E27FC236}">
                <a16:creationId xmlns:a16="http://schemas.microsoft.com/office/drawing/2014/main" id="{EA09FE3F-8F7F-4F38-A56E-0FF6F099A325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0" name="$F$1">
            <a:extLst>
              <a:ext uri="{FF2B5EF4-FFF2-40B4-BE49-F238E27FC236}">
                <a16:creationId xmlns:a16="http://schemas.microsoft.com/office/drawing/2014/main" id="{B24A9623-2329-4198-9FAD-89227F93D728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1" name="$F$1">
            <a:extLst>
              <a:ext uri="{FF2B5EF4-FFF2-40B4-BE49-F238E27FC236}">
                <a16:creationId xmlns:a16="http://schemas.microsoft.com/office/drawing/2014/main" id="{8745C9D7-6E98-4D30-B311-40542FB5F0D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2" name="$F$1">
            <a:extLst>
              <a:ext uri="{FF2B5EF4-FFF2-40B4-BE49-F238E27FC236}">
                <a16:creationId xmlns:a16="http://schemas.microsoft.com/office/drawing/2014/main" id="{8799D629-C90C-40DA-B85E-3C7D7D832C0A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3" name="$F$1">
            <a:extLst>
              <a:ext uri="{FF2B5EF4-FFF2-40B4-BE49-F238E27FC236}">
                <a16:creationId xmlns:a16="http://schemas.microsoft.com/office/drawing/2014/main" id="{2A1FA089-FC89-4A74-8BB9-34B481E3D59F}"/>
              </a:ext>
            </a:extLst>
          </xdr:cNvPr>
          <xdr:cNvSpPr/>
        </xdr:nvSpPr>
        <xdr:spPr>
          <a:xfrm>
            <a:off x="88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4" name="$F$1">
            <a:extLst>
              <a:ext uri="{FF2B5EF4-FFF2-40B4-BE49-F238E27FC236}">
                <a16:creationId xmlns:a16="http://schemas.microsoft.com/office/drawing/2014/main" id="{7D1362AB-AC90-4A16-BC3B-D810A27DB92D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5" name="$F$1">
            <a:extLst>
              <a:ext uri="{FF2B5EF4-FFF2-40B4-BE49-F238E27FC236}">
                <a16:creationId xmlns:a16="http://schemas.microsoft.com/office/drawing/2014/main" id="{C439E67E-2D53-41F3-9C42-171D36AFC2FF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6" name="$F$1">
            <a:extLst>
              <a:ext uri="{FF2B5EF4-FFF2-40B4-BE49-F238E27FC236}">
                <a16:creationId xmlns:a16="http://schemas.microsoft.com/office/drawing/2014/main" id="{26F9D45F-2469-4C6F-A68A-8E11B0112037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7" name="$F$1">
            <a:extLst>
              <a:ext uri="{FF2B5EF4-FFF2-40B4-BE49-F238E27FC236}">
                <a16:creationId xmlns:a16="http://schemas.microsoft.com/office/drawing/2014/main" id="{0C9D3A2F-7C42-4006-911A-1A0899D6FD69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8" name="$F$1">
            <a:extLst>
              <a:ext uri="{FF2B5EF4-FFF2-40B4-BE49-F238E27FC236}">
                <a16:creationId xmlns:a16="http://schemas.microsoft.com/office/drawing/2014/main" id="{D71D9DF2-F57B-40A8-BF32-BFBCA8DDF137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59" name="$F$1">
            <a:extLst>
              <a:ext uri="{FF2B5EF4-FFF2-40B4-BE49-F238E27FC236}">
                <a16:creationId xmlns:a16="http://schemas.microsoft.com/office/drawing/2014/main" id="{E6CBF923-BBC5-47E5-B13F-702ECEED458C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0" name="$F$1">
            <a:extLst>
              <a:ext uri="{FF2B5EF4-FFF2-40B4-BE49-F238E27FC236}">
                <a16:creationId xmlns:a16="http://schemas.microsoft.com/office/drawing/2014/main" id="{B2DFC96B-CA46-469B-A552-D89A2BDE999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1" name="$F$1">
            <a:extLst>
              <a:ext uri="{FF2B5EF4-FFF2-40B4-BE49-F238E27FC236}">
                <a16:creationId xmlns:a16="http://schemas.microsoft.com/office/drawing/2014/main" id="{5A108163-1C1F-4DE6-A615-949BAEF20558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2" name="$F$1">
            <a:extLst>
              <a:ext uri="{FF2B5EF4-FFF2-40B4-BE49-F238E27FC236}">
                <a16:creationId xmlns:a16="http://schemas.microsoft.com/office/drawing/2014/main" id="{51764E5C-5FB4-418E-81B2-967105DFA32C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3" name="$F$1">
            <a:extLst>
              <a:ext uri="{FF2B5EF4-FFF2-40B4-BE49-F238E27FC236}">
                <a16:creationId xmlns:a16="http://schemas.microsoft.com/office/drawing/2014/main" id="{A4075307-3B69-4986-AAA0-734B90D81A9B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4" name="$F$1">
            <a:extLst>
              <a:ext uri="{FF2B5EF4-FFF2-40B4-BE49-F238E27FC236}">
                <a16:creationId xmlns:a16="http://schemas.microsoft.com/office/drawing/2014/main" id="{BC9C9A28-B20F-4F67-9A9F-8B88AEEDA9F5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5" name="$F$1">
            <a:extLst>
              <a:ext uri="{FF2B5EF4-FFF2-40B4-BE49-F238E27FC236}">
                <a16:creationId xmlns:a16="http://schemas.microsoft.com/office/drawing/2014/main" id="{9EDB0A02-199A-4944-BFB3-C50A0587C443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6" name="$F$1">
            <a:extLst>
              <a:ext uri="{FF2B5EF4-FFF2-40B4-BE49-F238E27FC236}">
                <a16:creationId xmlns:a16="http://schemas.microsoft.com/office/drawing/2014/main" id="{9348D52F-F04C-4A25-A2D1-6C396438AAB6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7" name="$F$1">
            <a:extLst>
              <a:ext uri="{FF2B5EF4-FFF2-40B4-BE49-F238E27FC236}">
                <a16:creationId xmlns:a16="http://schemas.microsoft.com/office/drawing/2014/main" id="{4A295A52-FA63-4743-BE8D-DFAB0B486F79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8" name="$F$1">
            <a:extLst>
              <a:ext uri="{FF2B5EF4-FFF2-40B4-BE49-F238E27FC236}">
                <a16:creationId xmlns:a16="http://schemas.microsoft.com/office/drawing/2014/main" id="{0E10671B-08FD-4EF7-B0EB-7A3B1C327CF9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69" name="$F$1">
            <a:extLst>
              <a:ext uri="{FF2B5EF4-FFF2-40B4-BE49-F238E27FC236}">
                <a16:creationId xmlns:a16="http://schemas.microsoft.com/office/drawing/2014/main" id="{03A2F493-66EB-45F3-A3AA-E9168029255A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0" name="$F$1">
            <a:extLst>
              <a:ext uri="{FF2B5EF4-FFF2-40B4-BE49-F238E27FC236}">
                <a16:creationId xmlns:a16="http://schemas.microsoft.com/office/drawing/2014/main" id="{6851F69A-0A78-4E1E-A3C0-5BCC24BB13BF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1" name="$F$1">
            <a:extLst>
              <a:ext uri="{FF2B5EF4-FFF2-40B4-BE49-F238E27FC236}">
                <a16:creationId xmlns:a16="http://schemas.microsoft.com/office/drawing/2014/main" id="{89AB57E6-2F81-4ED5-A37B-53EB4250319B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2" name="$F$1">
            <a:extLst>
              <a:ext uri="{FF2B5EF4-FFF2-40B4-BE49-F238E27FC236}">
                <a16:creationId xmlns:a16="http://schemas.microsoft.com/office/drawing/2014/main" id="{2631C602-7340-4574-A91B-CDA4079390AB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3" name="$F$1">
            <a:extLst>
              <a:ext uri="{FF2B5EF4-FFF2-40B4-BE49-F238E27FC236}">
                <a16:creationId xmlns:a16="http://schemas.microsoft.com/office/drawing/2014/main" id="{FB9BDE34-5A52-4023-8992-0A285C72A036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4" name="$F$1">
            <a:extLst>
              <a:ext uri="{FF2B5EF4-FFF2-40B4-BE49-F238E27FC236}">
                <a16:creationId xmlns:a16="http://schemas.microsoft.com/office/drawing/2014/main" id="{18D1C82F-11BB-4E0E-9945-B9F06F47E5B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5" name="$F$1">
            <a:extLst>
              <a:ext uri="{FF2B5EF4-FFF2-40B4-BE49-F238E27FC236}">
                <a16:creationId xmlns:a16="http://schemas.microsoft.com/office/drawing/2014/main" id="{D309B6B6-CCE7-4004-AC84-A5019C63FCCF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6" name="$F$1">
            <a:extLst>
              <a:ext uri="{FF2B5EF4-FFF2-40B4-BE49-F238E27FC236}">
                <a16:creationId xmlns:a16="http://schemas.microsoft.com/office/drawing/2014/main" id="{DA7A6EA5-0F66-4737-BB8D-392BCE729BC6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7" name="$F$1">
            <a:extLst>
              <a:ext uri="{FF2B5EF4-FFF2-40B4-BE49-F238E27FC236}">
                <a16:creationId xmlns:a16="http://schemas.microsoft.com/office/drawing/2014/main" id="{6CD4D376-7B3E-41CC-8349-782E29F3AC8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8" name="$F$1">
            <a:extLst>
              <a:ext uri="{FF2B5EF4-FFF2-40B4-BE49-F238E27FC236}">
                <a16:creationId xmlns:a16="http://schemas.microsoft.com/office/drawing/2014/main" id="{0E482CB4-D8AD-4E31-8ABC-EF9CBBFF80A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79" name="$F$1">
            <a:extLst>
              <a:ext uri="{FF2B5EF4-FFF2-40B4-BE49-F238E27FC236}">
                <a16:creationId xmlns:a16="http://schemas.microsoft.com/office/drawing/2014/main" id="{CF39D654-A25B-4504-AFA8-D68765D7D321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0" name="$F$1">
            <a:extLst>
              <a:ext uri="{FF2B5EF4-FFF2-40B4-BE49-F238E27FC236}">
                <a16:creationId xmlns:a16="http://schemas.microsoft.com/office/drawing/2014/main" id="{B49202C6-2376-4BE5-98CF-9D5FDEA01F6C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1" name="$F$1">
            <a:extLst>
              <a:ext uri="{FF2B5EF4-FFF2-40B4-BE49-F238E27FC236}">
                <a16:creationId xmlns:a16="http://schemas.microsoft.com/office/drawing/2014/main" id="{00B92154-C186-4EE5-A8CC-71E4801CA4D3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2" name="$F$1">
            <a:extLst>
              <a:ext uri="{FF2B5EF4-FFF2-40B4-BE49-F238E27FC236}">
                <a16:creationId xmlns:a16="http://schemas.microsoft.com/office/drawing/2014/main" id="{6E2706CD-C6F8-4AF8-B28C-5FF2AC0A6C25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3" name="$F$1">
            <a:extLst>
              <a:ext uri="{FF2B5EF4-FFF2-40B4-BE49-F238E27FC236}">
                <a16:creationId xmlns:a16="http://schemas.microsoft.com/office/drawing/2014/main" id="{0E63CAF6-C84B-49AB-8476-79A7D7E25E68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4" name="$F$1">
            <a:extLst>
              <a:ext uri="{FF2B5EF4-FFF2-40B4-BE49-F238E27FC236}">
                <a16:creationId xmlns:a16="http://schemas.microsoft.com/office/drawing/2014/main" id="{B94D564F-B10B-4E4B-AC54-1E5EAEAB0FF1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5" name="$F$1">
            <a:extLst>
              <a:ext uri="{FF2B5EF4-FFF2-40B4-BE49-F238E27FC236}">
                <a16:creationId xmlns:a16="http://schemas.microsoft.com/office/drawing/2014/main" id="{7DC5C1DA-F1C3-4828-A224-5605F994ECC8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6" name="$F$1">
            <a:extLst>
              <a:ext uri="{FF2B5EF4-FFF2-40B4-BE49-F238E27FC236}">
                <a16:creationId xmlns:a16="http://schemas.microsoft.com/office/drawing/2014/main" id="{2BE6D5BB-C4FF-45C5-A34F-F7BB6E667813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7" name="$F$1">
            <a:extLst>
              <a:ext uri="{FF2B5EF4-FFF2-40B4-BE49-F238E27FC236}">
                <a16:creationId xmlns:a16="http://schemas.microsoft.com/office/drawing/2014/main" id="{5C0881FA-FCD2-4E86-ADF5-2AF6924A6533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8" name="$F$1">
            <a:extLst>
              <a:ext uri="{FF2B5EF4-FFF2-40B4-BE49-F238E27FC236}">
                <a16:creationId xmlns:a16="http://schemas.microsoft.com/office/drawing/2014/main" id="{A2F2F4AB-EC8C-46AA-97B4-E164C6DB35B4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89" name="$F$1">
            <a:extLst>
              <a:ext uri="{FF2B5EF4-FFF2-40B4-BE49-F238E27FC236}">
                <a16:creationId xmlns:a16="http://schemas.microsoft.com/office/drawing/2014/main" id="{4F0BC275-5124-4B77-898B-38E01DDAAAFB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0" name="$F$1">
            <a:extLst>
              <a:ext uri="{FF2B5EF4-FFF2-40B4-BE49-F238E27FC236}">
                <a16:creationId xmlns:a16="http://schemas.microsoft.com/office/drawing/2014/main" id="{66CCE843-CF3B-4850-97B1-D9D407E6F9EE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1" name="$F$1">
            <a:extLst>
              <a:ext uri="{FF2B5EF4-FFF2-40B4-BE49-F238E27FC236}">
                <a16:creationId xmlns:a16="http://schemas.microsoft.com/office/drawing/2014/main" id="{713AD068-EAC9-4749-8BD8-8B45C9E2623B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2" name="$F$1">
            <a:extLst>
              <a:ext uri="{FF2B5EF4-FFF2-40B4-BE49-F238E27FC236}">
                <a16:creationId xmlns:a16="http://schemas.microsoft.com/office/drawing/2014/main" id="{5193A3B2-1D69-43E6-9EA5-D88561E88A25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3" name="$F$1">
            <a:extLst>
              <a:ext uri="{FF2B5EF4-FFF2-40B4-BE49-F238E27FC236}">
                <a16:creationId xmlns:a16="http://schemas.microsoft.com/office/drawing/2014/main" id="{BD1DFAC7-E470-4B05-A2D7-9EA9C86F391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4" name="$F$1">
            <a:extLst>
              <a:ext uri="{FF2B5EF4-FFF2-40B4-BE49-F238E27FC236}">
                <a16:creationId xmlns:a16="http://schemas.microsoft.com/office/drawing/2014/main" id="{2F74C2C6-3577-42F5-9CFA-DB0F51980FF5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5" name="$F$1">
            <a:extLst>
              <a:ext uri="{FF2B5EF4-FFF2-40B4-BE49-F238E27FC236}">
                <a16:creationId xmlns:a16="http://schemas.microsoft.com/office/drawing/2014/main" id="{248F94A9-CE13-4818-9C17-B076F2E0859A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6" name="$F$1">
            <a:extLst>
              <a:ext uri="{FF2B5EF4-FFF2-40B4-BE49-F238E27FC236}">
                <a16:creationId xmlns:a16="http://schemas.microsoft.com/office/drawing/2014/main" id="{33724F92-FD62-4C35-A3D4-F8C38058B280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7" name="$F$1">
            <a:extLst>
              <a:ext uri="{FF2B5EF4-FFF2-40B4-BE49-F238E27FC236}">
                <a16:creationId xmlns:a16="http://schemas.microsoft.com/office/drawing/2014/main" id="{8E818BCC-E88C-492B-8CFB-5DDA16045837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8" name="$F$1">
            <a:extLst>
              <a:ext uri="{FF2B5EF4-FFF2-40B4-BE49-F238E27FC236}">
                <a16:creationId xmlns:a16="http://schemas.microsoft.com/office/drawing/2014/main" id="{FCD25306-D353-46DE-B435-8B2C544F6A2F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99" name="$F$1">
            <a:extLst>
              <a:ext uri="{FF2B5EF4-FFF2-40B4-BE49-F238E27FC236}">
                <a16:creationId xmlns:a16="http://schemas.microsoft.com/office/drawing/2014/main" id="{2566F29F-B8E7-4C68-97B2-02778DCACE1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0" name="$F$1">
            <a:extLst>
              <a:ext uri="{FF2B5EF4-FFF2-40B4-BE49-F238E27FC236}">
                <a16:creationId xmlns:a16="http://schemas.microsoft.com/office/drawing/2014/main" id="{28850358-8300-4AB9-9961-7A34E83A3FEB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1" name="$F$1">
            <a:extLst>
              <a:ext uri="{FF2B5EF4-FFF2-40B4-BE49-F238E27FC236}">
                <a16:creationId xmlns:a16="http://schemas.microsoft.com/office/drawing/2014/main" id="{8AD57801-F696-4BA7-A624-AB8484EB1751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2" name="$F$1">
            <a:extLst>
              <a:ext uri="{FF2B5EF4-FFF2-40B4-BE49-F238E27FC236}">
                <a16:creationId xmlns:a16="http://schemas.microsoft.com/office/drawing/2014/main" id="{9C734959-237D-4F27-A8F6-EC910C3AA7D5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3" name="$F$1">
            <a:extLst>
              <a:ext uri="{FF2B5EF4-FFF2-40B4-BE49-F238E27FC236}">
                <a16:creationId xmlns:a16="http://schemas.microsoft.com/office/drawing/2014/main" id="{A3EAE10D-C418-4024-B9FD-690332D1D9F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4" name="$F$1">
            <a:extLst>
              <a:ext uri="{FF2B5EF4-FFF2-40B4-BE49-F238E27FC236}">
                <a16:creationId xmlns:a16="http://schemas.microsoft.com/office/drawing/2014/main" id="{860EAC02-6320-4D45-9039-7D566165EEB8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5" name="$F$1">
            <a:extLst>
              <a:ext uri="{FF2B5EF4-FFF2-40B4-BE49-F238E27FC236}">
                <a16:creationId xmlns:a16="http://schemas.microsoft.com/office/drawing/2014/main" id="{9ED0FAF8-B062-4F20-A99A-9BF24D14AD66}"/>
              </a:ext>
            </a:extLst>
          </xdr:cNvPr>
          <xdr:cNvSpPr/>
        </xdr:nvSpPr>
        <xdr:spPr>
          <a:xfrm>
            <a:off x="25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6" name="$F$1">
            <a:extLst>
              <a:ext uri="{FF2B5EF4-FFF2-40B4-BE49-F238E27FC236}">
                <a16:creationId xmlns:a16="http://schemas.microsoft.com/office/drawing/2014/main" id="{F50A3450-4279-4210-B15D-1262BF83673D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7" name="$F$1">
            <a:extLst>
              <a:ext uri="{FF2B5EF4-FFF2-40B4-BE49-F238E27FC236}">
                <a16:creationId xmlns:a16="http://schemas.microsoft.com/office/drawing/2014/main" id="{DBA19926-E68E-478C-821E-572F513ECB0A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8" name="$F$1">
            <a:extLst>
              <a:ext uri="{FF2B5EF4-FFF2-40B4-BE49-F238E27FC236}">
                <a16:creationId xmlns:a16="http://schemas.microsoft.com/office/drawing/2014/main" id="{D6745486-08E6-4880-BF86-023AE5F3B772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09" name="$F$1">
            <a:extLst>
              <a:ext uri="{FF2B5EF4-FFF2-40B4-BE49-F238E27FC236}">
                <a16:creationId xmlns:a16="http://schemas.microsoft.com/office/drawing/2014/main" id="{CB82A022-C84B-412B-A163-CA42D041B26D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0" name="$F$1">
            <a:extLst>
              <a:ext uri="{FF2B5EF4-FFF2-40B4-BE49-F238E27FC236}">
                <a16:creationId xmlns:a16="http://schemas.microsoft.com/office/drawing/2014/main" id="{FFC20738-6DA4-446B-AADC-DA198636DFD5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1" name="$F$1">
            <a:extLst>
              <a:ext uri="{FF2B5EF4-FFF2-40B4-BE49-F238E27FC236}">
                <a16:creationId xmlns:a16="http://schemas.microsoft.com/office/drawing/2014/main" id="{C78564A8-10AD-4BE9-B342-C1BE17CCBB98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2" name="$F$1">
            <a:extLst>
              <a:ext uri="{FF2B5EF4-FFF2-40B4-BE49-F238E27FC236}">
                <a16:creationId xmlns:a16="http://schemas.microsoft.com/office/drawing/2014/main" id="{DF87A250-AC73-403A-BB35-EEDE57734352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3" name="$F$1">
            <a:extLst>
              <a:ext uri="{FF2B5EF4-FFF2-40B4-BE49-F238E27FC236}">
                <a16:creationId xmlns:a16="http://schemas.microsoft.com/office/drawing/2014/main" id="{6F54C968-9B7E-40E0-B646-4C76E6BE8F9F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4" name="$F$1">
            <a:extLst>
              <a:ext uri="{FF2B5EF4-FFF2-40B4-BE49-F238E27FC236}">
                <a16:creationId xmlns:a16="http://schemas.microsoft.com/office/drawing/2014/main" id="{F749F07C-A7AC-4A26-A592-2C9B109F8D3F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5" name="$F$1">
            <a:extLst>
              <a:ext uri="{FF2B5EF4-FFF2-40B4-BE49-F238E27FC236}">
                <a16:creationId xmlns:a16="http://schemas.microsoft.com/office/drawing/2014/main" id="{792EB61E-CD60-40D6-B6A4-F0AC564B0D31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24880</xdr:colOff>
      <xdr:row>0</xdr:row>
      <xdr:rowOff>96096</xdr:rowOff>
    </xdr:from>
    <xdr:to>
      <xdr:col>1</xdr:col>
      <xdr:colOff>2383039</xdr:colOff>
      <xdr:row>0</xdr:row>
      <xdr:rowOff>1328843</xdr:rowOff>
    </xdr:to>
    <xdr:grpSp>
      <xdr:nvGrpSpPr>
        <xdr:cNvPr id="41695" name="$B$1" descr="PDF417 barcode, security 2, nbcol 1, 13x86 cells" title="123456789">
          <a:extLst>
            <a:ext uri="{FF2B5EF4-FFF2-40B4-BE49-F238E27FC236}">
              <a16:creationId xmlns:a16="http://schemas.microsoft.com/office/drawing/2014/main" id="{36F11753-A764-4833-907A-1E5C0D5D6D4A}"/>
            </a:ext>
          </a:extLst>
        </xdr:cNvPr>
        <xdr:cNvGrpSpPr>
          <a:grpSpLocks noChangeAspect="1"/>
        </xdr:cNvGrpSpPr>
      </xdr:nvGrpSpPr>
      <xdr:grpSpPr>
        <a:xfrm>
          <a:off x="992620" y="96096"/>
          <a:ext cx="2358159" cy="1232747"/>
          <a:chOff x="12700" y="0"/>
          <a:chExt cx="1092200" cy="533400"/>
        </a:xfrm>
      </xdr:grpSpPr>
      <xdr:sp macro="" textlink="">
        <xdr:nvSpPr>
          <xdr:cNvPr id="41017" name="$B$1">
            <a:extLst>
              <a:ext uri="{FF2B5EF4-FFF2-40B4-BE49-F238E27FC236}">
                <a16:creationId xmlns:a16="http://schemas.microsoft.com/office/drawing/2014/main" id="{14B3182B-4003-4447-9621-554C62363EBB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8" name="$B$1">
            <a:extLst>
              <a:ext uri="{FF2B5EF4-FFF2-40B4-BE49-F238E27FC236}">
                <a16:creationId xmlns:a16="http://schemas.microsoft.com/office/drawing/2014/main" id="{FB70E039-F02E-492A-89FE-61F599C1640A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19" name="$B$1">
            <a:extLst>
              <a:ext uri="{FF2B5EF4-FFF2-40B4-BE49-F238E27FC236}">
                <a16:creationId xmlns:a16="http://schemas.microsoft.com/office/drawing/2014/main" id="{7CDDAB48-C612-4CAC-965E-E78F68097B29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0" name="$B$1">
            <a:extLst>
              <a:ext uri="{FF2B5EF4-FFF2-40B4-BE49-F238E27FC236}">
                <a16:creationId xmlns:a16="http://schemas.microsoft.com/office/drawing/2014/main" id="{B90E987E-EC31-4175-8EF5-F908788327AD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1" name="$B$1">
            <a:extLst>
              <a:ext uri="{FF2B5EF4-FFF2-40B4-BE49-F238E27FC236}">
                <a16:creationId xmlns:a16="http://schemas.microsoft.com/office/drawing/2014/main" id="{AD2EED85-22A8-4EEE-92E9-A1E029D79B5D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2" name="$B$1">
            <a:extLst>
              <a:ext uri="{FF2B5EF4-FFF2-40B4-BE49-F238E27FC236}">
                <a16:creationId xmlns:a16="http://schemas.microsoft.com/office/drawing/2014/main" id="{9ABFCC03-99AC-4FD1-9924-EE0BCC2198F4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3" name="$B$1">
            <a:extLst>
              <a:ext uri="{FF2B5EF4-FFF2-40B4-BE49-F238E27FC236}">
                <a16:creationId xmlns:a16="http://schemas.microsoft.com/office/drawing/2014/main" id="{1F861BE2-ACE7-420A-82A9-0BCD381C88C6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4" name="$B$1">
            <a:extLst>
              <a:ext uri="{FF2B5EF4-FFF2-40B4-BE49-F238E27FC236}">
                <a16:creationId xmlns:a16="http://schemas.microsoft.com/office/drawing/2014/main" id="{CDD9CFC9-870B-4110-86A4-8F699A41FC51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5" name="$B$1">
            <a:extLst>
              <a:ext uri="{FF2B5EF4-FFF2-40B4-BE49-F238E27FC236}">
                <a16:creationId xmlns:a16="http://schemas.microsoft.com/office/drawing/2014/main" id="{249E1369-D295-4CF1-890D-E2AFE1B31947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6" name="$B$1">
            <a:extLst>
              <a:ext uri="{FF2B5EF4-FFF2-40B4-BE49-F238E27FC236}">
                <a16:creationId xmlns:a16="http://schemas.microsoft.com/office/drawing/2014/main" id="{FD544F22-75CF-4967-8FF2-F7F9840FB706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7" name="$B$1">
            <a:extLst>
              <a:ext uri="{FF2B5EF4-FFF2-40B4-BE49-F238E27FC236}">
                <a16:creationId xmlns:a16="http://schemas.microsoft.com/office/drawing/2014/main" id="{E0CA3C7D-14C1-46F7-9889-35C68DA6EA49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8" name="$B$1">
            <a:extLst>
              <a:ext uri="{FF2B5EF4-FFF2-40B4-BE49-F238E27FC236}">
                <a16:creationId xmlns:a16="http://schemas.microsoft.com/office/drawing/2014/main" id="{8A72E063-084A-4816-AB16-F88C057CA61E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29" name="$B$1">
            <a:extLst>
              <a:ext uri="{FF2B5EF4-FFF2-40B4-BE49-F238E27FC236}">
                <a16:creationId xmlns:a16="http://schemas.microsoft.com/office/drawing/2014/main" id="{09DC8DAC-29AB-4102-B653-EC030B1ACB0E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0" name="$B$1">
            <a:extLst>
              <a:ext uri="{FF2B5EF4-FFF2-40B4-BE49-F238E27FC236}">
                <a16:creationId xmlns:a16="http://schemas.microsoft.com/office/drawing/2014/main" id="{96F7973E-220B-457E-A7C5-517D3530D259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1" name="$B$1">
            <a:extLst>
              <a:ext uri="{FF2B5EF4-FFF2-40B4-BE49-F238E27FC236}">
                <a16:creationId xmlns:a16="http://schemas.microsoft.com/office/drawing/2014/main" id="{9D20AA70-89A3-44DF-875D-D6A8794791F5}"/>
              </a:ext>
            </a:extLst>
          </xdr:cNvPr>
          <xdr:cNvSpPr/>
        </xdr:nvSpPr>
        <xdr:spPr>
          <a:xfrm>
            <a:off x="266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2" name="$B$1">
            <a:extLst>
              <a:ext uri="{FF2B5EF4-FFF2-40B4-BE49-F238E27FC236}">
                <a16:creationId xmlns:a16="http://schemas.microsoft.com/office/drawing/2014/main" id="{70D77829-FE25-4488-89FA-6C518A8E0C0E}"/>
              </a:ext>
            </a:extLst>
          </xdr:cNvPr>
          <xdr:cNvSpPr/>
        </xdr:nvSpPr>
        <xdr:spPr>
          <a:xfrm>
            <a:off x="292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3" name="$B$1">
            <a:extLst>
              <a:ext uri="{FF2B5EF4-FFF2-40B4-BE49-F238E27FC236}">
                <a16:creationId xmlns:a16="http://schemas.microsoft.com/office/drawing/2014/main" id="{B9DC7892-3F5A-4590-99E9-60BC537D4670}"/>
              </a:ext>
            </a:extLst>
          </xdr:cNvPr>
          <xdr:cNvSpPr/>
        </xdr:nvSpPr>
        <xdr:spPr>
          <a:xfrm>
            <a:off x="317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4" name="$B$1">
            <a:extLst>
              <a:ext uri="{FF2B5EF4-FFF2-40B4-BE49-F238E27FC236}">
                <a16:creationId xmlns:a16="http://schemas.microsoft.com/office/drawing/2014/main" id="{65FDBEC3-5CD9-4723-8924-8BD644EC8BD6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5" name="$B$1">
            <a:extLst>
              <a:ext uri="{FF2B5EF4-FFF2-40B4-BE49-F238E27FC236}">
                <a16:creationId xmlns:a16="http://schemas.microsoft.com/office/drawing/2014/main" id="{B0496681-DF30-4D13-AC07-5B0C86E9CDB1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6" name="$B$1">
            <a:extLst>
              <a:ext uri="{FF2B5EF4-FFF2-40B4-BE49-F238E27FC236}">
                <a16:creationId xmlns:a16="http://schemas.microsoft.com/office/drawing/2014/main" id="{1DCC9FF1-1C8D-46F7-A722-E9C8647F2F5B}"/>
              </a:ext>
            </a:extLst>
          </xdr:cNvPr>
          <xdr:cNvSpPr/>
        </xdr:nvSpPr>
        <xdr:spPr>
          <a:xfrm>
            <a:off x="381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7" name="$B$1">
            <a:extLst>
              <a:ext uri="{FF2B5EF4-FFF2-40B4-BE49-F238E27FC236}">
                <a16:creationId xmlns:a16="http://schemas.microsoft.com/office/drawing/2014/main" id="{646DB318-65B4-4D53-A60E-DFB90A364C11}"/>
              </a:ext>
            </a:extLst>
          </xdr:cNvPr>
          <xdr:cNvSpPr/>
        </xdr:nvSpPr>
        <xdr:spPr>
          <a:xfrm>
            <a:off x="393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8" name="$B$1">
            <a:extLst>
              <a:ext uri="{FF2B5EF4-FFF2-40B4-BE49-F238E27FC236}">
                <a16:creationId xmlns:a16="http://schemas.microsoft.com/office/drawing/2014/main" id="{D18A9C20-333C-45C8-9D07-66A7845CF2B8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39" name="$B$1">
            <a:extLst>
              <a:ext uri="{FF2B5EF4-FFF2-40B4-BE49-F238E27FC236}">
                <a16:creationId xmlns:a16="http://schemas.microsoft.com/office/drawing/2014/main" id="{3E378BE4-2992-4A65-BD99-9F5E1C4C8045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0" name="$B$1">
            <a:extLst>
              <a:ext uri="{FF2B5EF4-FFF2-40B4-BE49-F238E27FC236}">
                <a16:creationId xmlns:a16="http://schemas.microsoft.com/office/drawing/2014/main" id="{DF15041E-F901-4901-947D-AFB15657815A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1" name="$B$1">
            <a:extLst>
              <a:ext uri="{FF2B5EF4-FFF2-40B4-BE49-F238E27FC236}">
                <a16:creationId xmlns:a16="http://schemas.microsoft.com/office/drawing/2014/main" id="{03E7C2F3-5F76-4006-9F6C-C0EA2FBAA4DC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2" name="$B$1">
            <a:extLst>
              <a:ext uri="{FF2B5EF4-FFF2-40B4-BE49-F238E27FC236}">
                <a16:creationId xmlns:a16="http://schemas.microsoft.com/office/drawing/2014/main" id="{31AB48D9-11FB-40FC-A080-3F8E4C3A285A}"/>
              </a:ext>
            </a:extLst>
          </xdr:cNvPr>
          <xdr:cNvSpPr/>
        </xdr:nvSpPr>
        <xdr:spPr>
          <a:xfrm>
            <a:off x="558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3" name="$B$1">
            <a:extLst>
              <a:ext uri="{FF2B5EF4-FFF2-40B4-BE49-F238E27FC236}">
                <a16:creationId xmlns:a16="http://schemas.microsoft.com/office/drawing/2014/main" id="{48A39299-8972-4448-B2E0-8A37192AFE12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4" name="$B$1">
            <a:extLst>
              <a:ext uri="{FF2B5EF4-FFF2-40B4-BE49-F238E27FC236}">
                <a16:creationId xmlns:a16="http://schemas.microsoft.com/office/drawing/2014/main" id="{83946F04-5834-49EE-AF70-BDF96281F043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5" name="$B$1">
            <a:extLst>
              <a:ext uri="{FF2B5EF4-FFF2-40B4-BE49-F238E27FC236}">
                <a16:creationId xmlns:a16="http://schemas.microsoft.com/office/drawing/2014/main" id="{CCF85EE8-9804-4533-B1BE-A3E31C285222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6" name="$B$1">
            <a:extLst>
              <a:ext uri="{FF2B5EF4-FFF2-40B4-BE49-F238E27FC236}">
                <a16:creationId xmlns:a16="http://schemas.microsoft.com/office/drawing/2014/main" id="{B3B593B9-63C1-44B9-9347-C22747016ACA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7" name="$B$1">
            <a:extLst>
              <a:ext uri="{FF2B5EF4-FFF2-40B4-BE49-F238E27FC236}">
                <a16:creationId xmlns:a16="http://schemas.microsoft.com/office/drawing/2014/main" id="{844F6B73-ADE0-40BA-AB7B-5EC4A311A130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8" name="$B$1">
            <a:extLst>
              <a:ext uri="{FF2B5EF4-FFF2-40B4-BE49-F238E27FC236}">
                <a16:creationId xmlns:a16="http://schemas.microsoft.com/office/drawing/2014/main" id="{29647EF2-C4B1-4124-93FF-E01CAE439D69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49" name="$B$1">
            <a:extLst>
              <a:ext uri="{FF2B5EF4-FFF2-40B4-BE49-F238E27FC236}">
                <a16:creationId xmlns:a16="http://schemas.microsoft.com/office/drawing/2014/main" id="{DB3B6B55-D132-4266-B358-95084851F76C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0" name="$B$1">
            <a:extLst>
              <a:ext uri="{FF2B5EF4-FFF2-40B4-BE49-F238E27FC236}">
                <a16:creationId xmlns:a16="http://schemas.microsoft.com/office/drawing/2014/main" id="{2ED452DE-EFE8-45E4-918E-43AB84AB4ACC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1" name="$B$1">
            <a:extLst>
              <a:ext uri="{FF2B5EF4-FFF2-40B4-BE49-F238E27FC236}">
                <a16:creationId xmlns:a16="http://schemas.microsoft.com/office/drawing/2014/main" id="{04FB48AB-57D0-4B5B-ADE2-2AFB943BBB5E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2" name="$B$1">
            <a:extLst>
              <a:ext uri="{FF2B5EF4-FFF2-40B4-BE49-F238E27FC236}">
                <a16:creationId xmlns:a16="http://schemas.microsoft.com/office/drawing/2014/main" id="{E395E65F-7E59-4CB8-A9FB-0B69DE2CABE0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3" name="$B$1">
            <a:extLst>
              <a:ext uri="{FF2B5EF4-FFF2-40B4-BE49-F238E27FC236}">
                <a16:creationId xmlns:a16="http://schemas.microsoft.com/office/drawing/2014/main" id="{5FA59F89-7CF1-41D1-A76E-CC69F1A32F83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4" name="$B$1">
            <a:extLst>
              <a:ext uri="{FF2B5EF4-FFF2-40B4-BE49-F238E27FC236}">
                <a16:creationId xmlns:a16="http://schemas.microsoft.com/office/drawing/2014/main" id="{B99034F7-2945-4994-AC0B-DC5A5693EC74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5" name="$B$1">
            <a:extLst>
              <a:ext uri="{FF2B5EF4-FFF2-40B4-BE49-F238E27FC236}">
                <a16:creationId xmlns:a16="http://schemas.microsoft.com/office/drawing/2014/main" id="{49786A20-E109-4C7C-B867-F4DD2F5F1972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6" name="$B$1">
            <a:extLst>
              <a:ext uri="{FF2B5EF4-FFF2-40B4-BE49-F238E27FC236}">
                <a16:creationId xmlns:a16="http://schemas.microsoft.com/office/drawing/2014/main" id="{70474DCB-192B-41C6-8A3F-1B9738F9C753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7" name="$B$1">
            <a:extLst>
              <a:ext uri="{FF2B5EF4-FFF2-40B4-BE49-F238E27FC236}">
                <a16:creationId xmlns:a16="http://schemas.microsoft.com/office/drawing/2014/main" id="{3A474BF8-6AEE-482E-9A65-3E6615CD60D3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8" name="$B$1">
            <a:extLst>
              <a:ext uri="{FF2B5EF4-FFF2-40B4-BE49-F238E27FC236}">
                <a16:creationId xmlns:a16="http://schemas.microsoft.com/office/drawing/2014/main" id="{859C8892-21B0-47A0-A926-7D45B271827E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59" name="$B$1">
            <a:extLst>
              <a:ext uri="{FF2B5EF4-FFF2-40B4-BE49-F238E27FC236}">
                <a16:creationId xmlns:a16="http://schemas.microsoft.com/office/drawing/2014/main" id="{E6412907-0AEE-4DE2-9774-4C32469B93B5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0" name="$B$1">
            <a:extLst>
              <a:ext uri="{FF2B5EF4-FFF2-40B4-BE49-F238E27FC236}">
                <a16:creationId xmlns:a16="http://schemas.microsoft.com/office/drawing/2014/main" id="{1169119F-3A0D-4B86-93C0-A9D1107177E8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1" name="$B$1">
            <a:extLst>
              <a:ext uri="{FF2B5EF4-FFF2-40B4-BE49-F238E27FC236}">
                <a16:creationId xmlns:a16="http://schemas.microsoft.com/office/drawing/2014/main" id="{E2CA47AD-E65B-4279-85C8-F07B98F26281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2" name="$B$1">
            <a:extLst>
              <a:ext uri="{FF2B5EF4-FFF2-40B4-BE49-F238E27FC236}">
                <a16:creationId xmlns:a16="http://schemas.microsoft.com/office/drawing/2014/main" id="{61784245-F7B5-45A5-BC7A-2BFA61366CB1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3" name="$B$1">
            <a:extLst>
              <a:ext uri="{FF2B5EF4-FFF2-40B4-BE49-F238E27FC236}">
                <a16:creationId xmlns:a16="http://schemas.microsoft.com/office/drawing/2014/main" id="{188CF019-BAC5-4807-8918-B7FD3FF8C5CC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4" name="$B$1">
            <a:extLst>
              <a:ext uri="{FF2B5EF4-FFF2-40B4-BE49-F238E27FC236}">
                <a16:creationId xmlns:a16="http://schemas.microsoft.com/office/drawing/2014/main" id="{24C8B9F9-4BFF-4C2E-8928-9D4726EA1E0C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5" name="$B$1">
            <a:extLst>
              <a:ext uri="{FF2B5EF4-FFF2-40B4-BE49-F238E27FC236}">
                <a16:creationId xmlns:a16="http://schemas.microsoft.com/office/drawing/2014/main" id="{39004DD8-2706-49BC-9A88-FF1FE1857ECA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6" name="$B$1">
            <a:extLst>
              <a:ext uri="{FF2B5EF4-FFF2-40B4-BE49-F238E27FC236}">
                <a16:creationId xmlns:a16="http://schemas.microsoft.com/office/drawing/2014/main" id="{A5F6D50A-1A01-4F64-884F-61CF3C861F87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7" name="$B$1">
            <a:extLst>
              <a:ext uri="{FF2B5EF4-FFF2-40B4-BE49-F238E27FC236}">
                <a16:creationId xmlns:a16="http://schemas.microsoft.com/office/drawing/2014/main" id="{1A2F303D-2911-4F5B-8AD8-B23D5ED60E98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8" name="$B$1">
            <a:extLst>
              <a:ext uri="{FF2B5EF4-FFF2-40B4-BE49-F238E27FC236}">
                <a16:creationId xmlns:a16="http://schemas.microsoft.com/office/drawing/2014/main" id="{DE5CB08C-6B20-4634-9EEC-320AA7EE4B98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69" name="$B$1">
            <a:extLst>
              <a:ext uri="{FF2B5EF4-FFF2-40B4-BE49-F238E27FC236}">
                <a16:creationId xmlns:a16="http://schemas.microsoft.com/office/drawing/2014/main" id="{2A353876-AE88-45FC-B6D5-E2376974FA59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0" name="$B$1">
            <a:extLst>
              <a:ext uri="{FF2B5EF4-FFF2-40B4-BE49-F238E27FC236}">
                <a16:creationId xmlns:a16="http://schemas.microsoft.com/office/drawing/2014/main" id="{E76B76F4-6E21-4A04-9D4E-9A4C53628540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1" name="$B$1">
            <a:extLst>
              <a:ext uri="{FF2B5EF4-FFF2-40B4-BE49-F238E27FC236}">
                <a16:creationId xmlns:a16="http://schemas.microsoft.com/office/drawing/2014/main" id="{72B35FE9-2BF8-4160-A993-08D7D00BC9ED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2" name="$B$1">
            <a:extLst>
              <a:ext uri="{FF2B5EF4-FFF2-40B4-BE49-F238E27FC236}">
                <a16:creationId xmlns:a16="http://schemas.microsoft.com/office/drawing/2014/main" id="{E313220E-5725-4F4F-B63D-CA080EE2B50D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3" name="$B$1">
            <a:extLst>
              <a:ext uri="{FF2B5EF4-FFF2-40B4-BE49-F238E27FC236}">
                <a16:creationId xmlns:a16="http://schemas.microsoft.com/office/drawing/2014/main" id="{70C426D0-88A4-4D6E-8390-6C0AA5E295A0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4" name="$B$1">
            <a:extLst>
              <a:ext uri="{FF2B5EF4-FFF2-40B4-BE49-F238E27FC236}">
                <a16:creationId xmlns:a16="http://schemas.microsoft.com/office/drawing/2014/main" id="{37D2C995-770F-4656-BBBC-0C062A93DEC9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5" name="$B$1">
            <a:extLst>
              <a:ext uri="{FF2B5EF4-FFF2-40B4-BE49-F238E27FC236}">
                <a16:creationId xmlns:a16="http://schemas.microsoft.com/office/drawing/2014/main" id="{22D0D8A0-77A1-48C2-A81B-4880667AB902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6" name="$B$1">
            <a:extLst>
              <a:ext uri="{FF2B5EF4-FFF2-40B4-BE49-F238E27FC236}">
                <a16:creationId xmlns:a16="http://schemas.microsoft.com/office/drawing/2014/main" id="{F32A066F-1994-4C5C-B8C7-D0D60E2FF9CB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7" name="$B$1">
            <a:extLst>
              <a:ext uri="{FF2B5EF4-FFF2-40B4-BE49-F238E27FC236}">
                <a16:creationId xmlns:a16="http://schemas.microsoft.com/office/drawing/2014/main" id="{C3BF9321-C2DD-44D1-AA90-19573B682D08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8" name="$B$1">
            <a:extLst>
              <a:ext uri="{FF2B5EF4-FFF2-40B4-BE49-F238E27FC236}">
                <a16:creationId xmlns:a16="http://schemas.microsoft.com/office/drawing/2014/main" id="{CEDEBCA0-3277-44C8-A131-42B9EAD38BD5}"/>
              </a:ext>
            </a:extLst>
          </xdr:cNvPr>
          <xdr:cNvSpPr/>
        </xdr:nvSpPr>
        <xdr:spPr>
          <a:xfrm>
            <a:off x="279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79" name="$B$1">
            <a:extLst>
              <a:ext uri="{FF2B5EF4-FFF2-40B4-BE49-F238E27FC236}">
                <a16:creationId xmlns:a16="http://schemas.microsoft.com/office/drawing/2014/main" id="{1A5DE84C-DD82-4C1F-AE8B-EE909EB25677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0" name="$B$1">
            <a:extLst>
              <a:ext uri="{FF2B5EF4-FFF2-40B4-BE49-F238E27FC236}">
                <a16:creationId xmlns:a16="http://schemas.microsoft.com/office/drawing/2014/main" id="{79B009C6-5692-46D4-9178-7BA03A0F3236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1" name="$B$1">
            <a:extLst>
              <a:ext uri="{FF2B5EF4-FFF2-40B4-BE49-F238E27FC236}">
                <a16:creationId xmlns:a16="http://schemas.microsoft.com/office/drawing/2014/main" id="{513207BB-6619-449F-A88E-8BC6A2B4291E}"/>
              </a:ext>
            </a:extLst>
          </xdr:cNvPr>
          <xdr:cNvSpPr/>
        </xdr:nvSpPr>
        <xdr:spPr>
          <a:xfrm>
            <a:off x="342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2" name="$B$1">
            <a:extLst>
              <a:ext uri="{FF2B5EF4-FFF2-40B4-BE49-F238E27FC236}">
                <a16:creationId xmlns:a16="http://schemas.microsoft.com/office/drawing/2014/main" id="{7F8A7E5F-EE01-4EF6-9E2F-2526D7D724D4}"/>
              </a:ext>
            </a:extLst>
          </xdr:cNvPr>
          <xdr:cNvSpPr/>
        </xdr:nvSpPr>
        <xdr:spPr>
          <a:xfrm>
            <a:off x="393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3" name="$B$1">
            <a:extLst>
              <a:ext uri="{FF2B5EF4-FFF2-40B4-BE49-F238E27FC236}">
                <a16:creationId xmlns:a16="http://schemas.microsoft.com/office/drawing/2014/main" id="{CF784902-0B68-484C-BF6F-0B8F3413E92E}"/>
              </a:ext>
            </a:extLst>
          </xdr:cNvPr>
          <xdr:cNvSpPr/>
        </xdr:nvSpPr>
        <xdr:spPr>
          <a:xfrm>
            <a:off x="406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4" name="$B$1">
            <a:extLst>
              <a:ext uri="{FF2B5EF4-FFF2-40B4-BE49-F238E27FC236}">
                <a16:creationId xmlns:a16="http://schemas.microsoft.com/office/drawing/2014/main" id="{5EF375B8-DF00-4F02-8207-4B4D4E97FF75}"/>
              </a:ext>
            </a:extLst>
          </xdr:cNvPr>
          <xdr:cNvSpPr/>
        </xdr:nvSpPr>
        <xdr:spPr>
          <a:xfrm>
            <a:off x="419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5" name="$B$1">
            <a:extLst>
              <a:ext uri="{FF2B5EF4-FFF2-40B4-BE49-F238E27FC236}">
                <a16:creationId xmlns:a16="http://schemas.microsoft.com/office/drawing/2014/main" id="{77673870-2E5A-4E0E-A5FD-F4334930D60F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6" name="$B$1">
            <a:extLst>
              <a:ext uri="{FF2B5EF4-FFF2-40B4-BE49-F238E27FC236}">
                <a16:creationId xmlns:a16="http://schemas.microsoft.com/office/drawing/2014/main" id="{E469A54E-7BD7-4BDF-B26E-62934E48F270}"/>
              </a:ext>
            </a:extLst>
          </xdr:cNvPr>
          <xdr:cNvSpPr/>
        </xdr:nvSpPr>
        <xdr:spPr>
          <a:xfrm>
            <a:off x="469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7" name="$B$1">
            <a:extLst>
              <a:ext uri="{FF2B5EF4-FFF2-40B4-BE49-F238E27FC236}">
                <a16:creationId xmlns:a16="http://schemas.microsoft.com/office/drawing/2014/main" id="{10288FD6-31D7-4778-950E-9E63DDE507CF}"/>
              </a:ext>
            </a:extLst>
          </xdr:cNvPr>
          <xdr:cNvSpPr/>
        </xdr:nvSpPr>
        <xdr:spPr>
          <a:xfrm>
            <a:off x="482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8" name="$B$1">
            <a:extLst>
              <a:ext uri="{FF2B5EF4-FFF2-40B4-BE49-F238E27FC236}">
                <a16:creationId xmlns:a16="http://schemas.microsoft.com/office/drawing/2014/main" id="{01F849D3-F20E-47A4-8B69-5DC753D03F15}"/>
              </a:ext>
            </a:extLst>
          </xdr:cNvPr>
          <xdr:cNvSpPr/>
        </xdr:nvSpPr>
        <xdr:spPr>
          <a:xfrm>
            <a:off x="495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89" name="$B$1">
            <a:extLst>
              <a:ext uri="{FF2B5EF4-FFF2-40B4-BE49-F238E27FC236}">
                <a16:creationId xmlns:a16="http://schemas.microsoft.com/office/drawing/2014/main" id="{86DCBFEC-D75A-4B1E-89B1-334C167E5C36}"/>
              </a:ext>
            </a:extLst>
          </xdr:cNvPr>
          <xdr:cNvSpPr/>
        </xdr:nvSpPr>
        <xdr:spPr>
          <a:xfrm>
            <a:off x="508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0" name="$B$1">
            <a:extLst>
              <a:ext uri="{FF2B5EF4-FFF2-40B4-BE49-F238E27FC236}">
                <a16:creationId xmlns:a16="http://schemas.microsoft.com/office/drawing/2014/main" id="{17975B69-1F3C-4612-B299-7C56147ED403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1" name="$B$1">
            <a:extLst>
              <a:ext uri="{FF2B5EF4-FFF2-40B4-BE49-F238E27FC236}">
                <a16:creationId xmlns:a16="http://schemas.microsoft.com/office/drawing/2014/main" id="{8AEAA0B6-F26A-42FB-89B0-7B30240582BD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2" name="$B$1">
            <a:extLst>
              <a:ext uri="{FF2B5EF4-FFF2-40B4-BE49-F238E27FC236}">
                <a16:creationId xmlns:a16="http://schemas.microsoft.com/office/drawing/2014/main" id="{3F8A2ECF-903B-4836-AEDF-2CF64F273341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3" name="$B$1">
            <a:extLst>
              <a:ext uri="{FF2B5EF4-FFF2-40B4-BE49-F238E27FC236}">
                <a16:creationId xmlns:a16="http://schemas.microsoft.com/office/drawing/2014/main" id="{CDF7DBA3-EB45-4707-8F21-954AD90332A4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4" name="$B$1">
            <a:extLst>
              <a:ext uri="{FF2B5EF4-FFF2-40B4-BE49-F238E27FC236}">
                <a16:creationId xmlns:a16="http://schemas.microsoft.com/office/drawing/2014/main" id="{B8F5786E-A100-41FD-AAA9-394810516CA9}"/>
              </a:ext>
            </a:extLst>
          </xdr:cNvPr>
          <xdr:cNvSpPr/>
        </xdr:nvSpPr>
        <xdr:spPr>
          <a:xfrm>
            <a:off x="609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5" name="$B$1">
            <a:extLst>
              <a:ext uri="{FF2B5EF4-FFF2-40B4-BE49-F238E27FC236}">
                <a16:creationId xmlns:a16="http://schemas.microsoft.com/office/drawing/2014/main" id="{9706AD87-682D-4AF5-9FA8-EFA39504625C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6" name="$B$1">
            <a:extLst>
              <a:ext uri="{FF2B5EF4-FFF2-40B4-BE49-F238E27FC236}">
                <a16:creationId xmlns:a16="http://schemas.microsoft.com/office/drawing/2014/main" id="{255D6941-6891-4798-9DFE-4DA182DE2729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7" name="$B$1">
            <a:extLst>
              <a:ext uri="{FF2B5EF4-FFF2-40B4-BE49-F238E27FC236}">
                <a16:creationId xmlns:a16="http://schemas.microsoft.com/office/drawing/2014/main" id="{82322554-33D1-43C0-BF1C-A8941FFD6E05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8" name="$B$1">
            <a:extLst>
              <a:ext uri="{FF2B5EF4-FFF2-40B4-BE49-F238E27FC236}">
                <a16:creationId xmlns:a16="http://schemas.microsoft.com/office/drawing/2014/main" id="{224C933B-E95B-4E45-98A4-C2D1DE89B16D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99" name="$B$1">
            <a:extLst>
              <a:ext uri="{FF2B5EF4-FFF2-40B4-BE49-F238E27FC236}">
                <a16:creationId xmlns:a16="http://schemas.microsoft.com/office/drawing/2014/main" id="{34E5B299-2E0E-4A53-B3C0-42D28335CCB9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0" name="$B$1">
            <a:extLst>
              <a:ext uri="{FF2B5EF4-FFF2-40B4-BE49-F238E27FC236}">
                <a16:creationId xmlns:a16="http://schemas.microsoft.com/office/drawing/2014/main" id="{8142FBC5-4FAF-4805-A14F-0D02E045E3D8}"/>
              </a:ext>
            </a:extLst>
          </xdr:cNvPr>
          <xdr:cNvSpPr/>
        </xdr:nvSpPr>
        <xdr:spPr>
          <a:xfrm>
            <a:off x="723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1" name="$B$1">
            <a:extLst>
              <a:ext uri="{FF2B5EF4-FFF2-40B4-BE49-F238E27FC236}">
                <a16:creationId xmlns:a16="http://schemas.microsoft.com/office/drawing/2014/main" id="{0238A45F-3807-444C-ABAD-1CED949A97DF}"/>
              </a:ext>
            </a:extLst>
          </xdr:cNvPr>
          <xdr:cNvSpPr/>
        </xdr:nvSpPr>
        <xdr:spPr>
          <a:xfrm>
            <a:off x="749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2" name="$B$1">
            <a:extLst>
              <a:ext uri="{FF2B5EF4-FFF2-40B4-BE49-F238E27FC236}">
                <a16:creationId xmlns:a16="http://schemas.microsoft.com/office/drawing/2014/main" id="{E3E0BE06-4598-4E39-8B27-5228D810F10F}"/>
              </a:ext>
            </a:extLst>
          </xdr:cNvPr>
          <xdr:cNvSpPr/>
        </xdr:nvSpPr>
        <xdr:spPr>
          <a:xfrm>
            <a:off x="774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3" name="$B$1">
            <a:extLst>
              <a:ext uri="{FF2B5EF4-FFF2-40B4-BE49-F238E27FC236}">
                <a16:creationId xmlns:a16="http://schemas.microsoft.com/office/drawing/2014/main" id="{192D205D-DB48-4077-AB83-78C9031AB3D1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4" name="$B$1">
            <a:extLst>
              <a:ext uri="{FF2B5EF4-FFF2-40B4-BE49-F238E27FC236}">
                <a16:creationId xmlns:a16="http://schemas.microsoft.com/office/drawing/2014/main" id="{A32CF4AC-1A22-40C7-9187-D3A90B3199DC}"/>
              </a:ext>
            </a:extLst>
          </xdr:cNvPr>
          <xdr:cNvSpPr/>
        </xdr:nvSpPr>
        <xdr:spPr>
          <a:xfrm>
            <a:off x="825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5" name="$B$1">
            <a:extLst>
              <a:ext uri="{FF2B5EF4-FFF2-40B4-BE49-F238E27FC236}">
                <a16:creationId xmlns:a16="http://schemas.microsoft.com/office/drawing/2014/main" id="{910A0E07-3BB0-46E7-BD1B-D2B1F00051AB}"/>
              </a:ext>
            </a:extLst>
          </xdr:cNvPr>
          <xdr:cNvSpPr/>
        </xdr:nvSpPr>
        <xdr:spPr>
          <a:xfrm>
            <a:off x="838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6" name="$B$1">
            <a:extLst>
              <a:ext uri="{FF2B5EF4-FFF2-40B4-BE49-F238E27FC236}">
                <a16:creationId xmlns:a16="http://schemas.microsoft.com/office/drawing/2014/main" id="{B05ABD8B-7E02-45C9-B5CC-07EBC787E4B9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7" name="$B$1">
            <a:extLst>
              <a:ext uri="{FF2B5EF4-FFF2-40B4-BE49-F238E27FC236}">
                <a16:creationId xmlns:a16="http://schemas.microsoft.com/office/drawing/2014/main" id="{0AC47EAF-8656-47BA-9872-57F421BB6D3D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8" name="$B$1">
            <a:extLst>
              <a:ext uri="{FF2B5EF4-FFF2-40B4-BE49-F238E27FC236}">
                <a16:creationId xmlns:a16="http://schemas.microsoft.com/office/drawing/2014/main" id="{23AD691D-AB0E-426A-BE15-4B2A5F0E7CAD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09" name="$B$1">
            <a:extLst>
              <a:ext uri="{FF2B5EF4-FFF2-40B4-BE49-F238E27FC236}">
                <a16:creationId xmlns:a16="http://schemas.microsoft.com/office/drawing/2014/main" id="{CB5C7B2A-D1E2-46DF-AEE4-B68240D51443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0" name="$B$1">
            <a:extLst>
              <a:ext uri="{FF2B5EF4-FFF2-40B4-BE49-F238E27FC236}">
                <a16:creationId xmlns:a16="http://schemas.microsoft.com/office/drawing/2014/main" id="{07C4D7D4-6966-41F2-A76B-5C5AAE7B4383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1" name="$B$1">
            <a:extLst>
              <a:ext uri="{FF2B5EF4-FFF2-40B4-BE49-F238E27FC236}">
                <a16:creationId xmlns:a16="http://schemas.microsoft.com/office/drawing/2014/main" id="{D5F69938-64D4-4BBD-AD55-15918A50FED3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2" name="$B$1">
            <a:extLst>
              <a:ext uri="{FF2B5EF4-FFF2-40B4-BE49-F238E27FC236}">
                <a16:creationId xmlns:a16="http://schemas.microsoft.com/office/drawing/2014/main" id="{EDB20B12-DF62-4BB9-88D2-4521F32F62F5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3" name="$B$1">
            <a:extLst>
              <a:ext uri="{FF2B5EF4-FFF2-40B4-BE49-F238E27FC236}">
                <a16:creationId xmlns:a16="http://schemas.microsoft.com/office/drawing/2014/main" id="{AC0550A0-3209-4845-9374-FF62540F9A7A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4" name="$B$1">
            <a:extLst>
              <a:ext uri="{FF2B5EF4-FFF2-40B4-BE49-F238E27FC236}">
                <a16:creationId xmlns:a16="http://schemas.microsoft.com/office/drawing/2014/main" id="{F5D3C41B-9FEA-4835-B68E-B064720214DF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5" name="$B$1">
            <a:extLst>
              <a:ext uri="{FF2B5EF4-FFF2-40B4-BE49-F238E27FC236}">
                <a16:creationId xmlns:a16="http://schemas.microsoft.com/office/drawing/2014/main" id="{A9E4345B-76AD-4E30-991F-3EEBDCED3854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6" name="$B$1">
            <a:extLst>
              <a:ext uri="{FF2B5EF4-FFF2-40B4-BE49-F238E27FC236}">
                <a16:creationId xmlns:a16="http://schemas.microsoft.com/office/drawing/2014/main" id="{B7947445-B9ED-471D-B582-A24D0DD7F256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7" name="$B$1">
            <a:extLst>
              <a:ext uri="{FF2B5EF4-FFF2-40B4-BE49-F238E27FC236}">
                <a16:creationId xmlns:a16="http://schemas.microsoft.com/office/drawing/2014/main" id="{79C53D0D-75E8-404C-9D19-B09081849486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8" name="$B$1">
            <a:extLst>
              <a:ext uri="{FF2B5EF4-FFF2-40B4-BE49-F238E27FC236}">
                <a16:creationId xmlns:a16="http://schemas.microsoft.com/office/drawing/2014/main" id="{B4E0BB27-9D56-4A7A-AE96-66F1595D77D5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19" name="$B$1">
            <a:extLst>
              <a:ext uri="{FF2B5EF4-FFF2-40B4-BE49-F238E27FC236}">
                <a16:creationId xmlns:a16="http://schemas.microsoft.com/office/drawing/2014/main" id="{E0163FFC-B5F4-490E-9704-C3CF77947248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0" name="$B$1">
            <a:extLst>
              <a:ext uri="{FF2B5EF4-FFF2-40B4-BE49-F238E27FC236}">
                <a16:creationId xmlns:a16="http://schemas.microsoft.com/office/drawing/2014/main" id="{3EE2659A-9883-43FF-AADB-2A4094AA3F1D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1" name="$B$1">
            <a:extLst>
              <a:ext uri="{FF2B5EF4-FFF2-40B4-BE49-F238E27FC236}">
                <a16:creationId xmlns:a16="http://schemas.microsoft.com/office/drawing/2014/main" id="{5565E1F0-47CE-4AB5-A6C4-22053DB2438A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2" name="$B$1">
            <a:extLst>
              <a:ext uri="{FF2B5EF4-FFF2-40B4-BE49-F238E27FC236}">
                <a16:creationId xmlns:a16="http://schemas.microsoft.com/office/drawing/2014/main" id="{85869970-3E39-4FAE-9B14-45581C38F069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3" name="$B$1">
            <a:extLst>
              <a:ext uri="{FF2B5EF4-FFF2-40B4-BE49-F238E27FC236}">
                <a16:creationId xmlns:a16="http://schemas.microsoft.com/office/drawing/2014/main" id="{D4176D53-82E3-41AB-8E1A-87D26F59881F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4" name="$B$1">
            <a:extLst>
              <a:ext uri="{FF2B5EF4-FFF2-40B4-BE49-F238E27FC236}">
                <a16:creationId xmlns:a16="http://schemas.microsoft.com/office/drawing/2014/main" id="{990DD036-FAF2-451C-96E2-436403C73344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5" name="$B$1">
            <a:extLst>
              <a:ext uri="{FF2B5EF4-FFF2-40B4-BE49-F238E27FC236}">
                <a16:creationId xmlns:a16="http://schemas.microsoft.com/office/drawing/2014/main" id="{1E1ADFEF-D318-41F0-9A02-BC045453D746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6" name="$B$1">
            <a:extLst>
              <a:ext uri="{FF2B5EF4-FFF2-40B4-BE49-F238E27FC236}">
                <a16:creationId xmlns:a16="http://schemas.microsoft.com/office/drawing/2014/main" id="{888A81DB-2F13-4D1D-8DA7-4EA5975A694E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7" name="$B$1">
            <a:extLst>
              <a:ext uri="{FF2B5EF4-FFF2-40B4-BE49-F238E27FC236}">
                <a16:creationId xmlns:a16="http://schemas.microsoft.com/office/drawing/2014/main" id="{C588CF04-1340-41FC-BDCD-93802DDF186C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8" name="$B$1">
            <a:extLst>
              <a:ext uri="{FF2B5EF4-FFF2-40B4-BE49-F238E27FC236}">
                <a16:creationId xmlns:a16="http://schemas.microsoft.com/office/drawing/2014/main" id="{9062DA63-ADD0-45CF-8097-C9F9CED2E715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29" name="$B$1">
            <a:extLst>
              <a:ext uri="{FF2B5EF4-FFF2-40B4-BE49-F238E27FC236}">
                <a16:creationId xmlns:a16="http://schemas.microsoft.com/office/drawing/2014/main" id="{F3B6DBC3-A25A-4027-9379-A0ED2A2F1672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0" name="$B$1">
            <a:extLst>
              <a:ext uri="{FF2B5EF4-FFF2-40B4-BE49-F238E27FC236}">
                <a16:creationId xmlns:a16="http://schemas.microsoft.com/office/drawing/2014/main" id="{B93449B6-234C-423A-BD85-581C7AF21DEC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1" name="$B$1">
            <a:extLst>
              <a:ext uri="{FF2B5EF4-FFF2-40B4-BE49-F238E27FC236}">
                <a16:creationId xmlns:a16="http://schemas.microsoft.com/office/drawing/2014/main" id="{69A69FB2-4D06-49FD-B5EE-48B6531443EB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2" name="$B$1">
            <a:extLst>
              <a:ext uri="{FF2B5EF4-FFF2-40B4-BE49-F238E27FC236}">
                <a16:creationId xmlns:a16="http://schemas.microsoft.com/office/drawing/2014/main" id="{AF8BD560-EFAF-44A0-A637-D9A87EB6BAC6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3" name="$B$1">
            <a:extLst>
              <a:ext uri="{FF2B5EF4-FFF2-40B4-BE49-F238E27FC236}">
                <a16:creationId xmlns:a16="http://schemas.microsoft.com/office/drawing/2014/main" id="{C47991E3-367B-4EFB-82B9-1AF910CC9EEE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4" name="$B$1">
            <a:extLst>
              <a:ext uri="{FF2B5EF4-FFF2-40B4-BE49-F238E27FC236}">
                <a16:creationId xmlns:a16="http://schemas.microsoft.com/office/drawing/2014/main" id="{AE4CA231-EDC0-4BBC-9AC8-AC62B0C24CD3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5" name="$B$1">
            <a:extLst>
              <a:ext uri="{FF2B5EF4-FFF2-40B4-BE49-F238E27FC236}">
                <a16:creationId xmlns:a16="http://schemas.microsoft.com/office/drawing/2014/main" id="{68C26935-3973-464A-AE20-0FA7E74056AB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6" name="$B$1">
            <a:extLst>
              <a:ext uri="{FF2B5EF4-FFF2-40B4-BE49-F238E27FC236}">
                <a16:creationId xmlns:a16="http://schemas.microsoft.com/office/drawing/2014/main" id="{90B18FF8-F0FC-4EF4-A348-42233C86720B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7" name="$B$1">
            <a:extLst>
              <a:ext uri="{FF2B5EF4-FFF2-40B4-BE49-F238E27FC236}">
                <a16:creationId xmlns:a16="http://schemas.microsoft.com/office/drawing/2014/main" id="{5B43DBE7-4749-4AEA-8AE5-3993BC885D3E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8" name="$B$1">
            <a:extLst>
              <a:ext uri="{FF2B5EF4-FFF2-40B4-BE49-F238E27FC236}">
                <a16:creationId xmlns:a16="http://schemas.microsoft.com/office/drawing/2014/main" id="{6EE9143D-6350-4903-941E-9F18882B90E8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39" name="$B$1">
            <a:extLst>
              <a:ext uri="{FF2B5EF4-FFF2-40B4-BE49-F238E27FC236}">
                <a16:creationId xmlns:a16="http://schemas.microsoft.com/office/drawing/2014/main" id="{74D791B1-287F-4959-9DA6-0A1B7E6914F8}"/>
              </a:ext>
            </a:extLst>
          </xdr:cNvPr>
          <xdr:cNvSpPr/>
        </xdr:nvSpPr>
        <xdr:spPr>
          <a:xfrm>
            <a:off x="469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0" name="$B$1">
            <a:extLst>
              <a:ext uri="{FF2B5EF4-FFF2-40B4-BE49-F238E27FC236}">
                <a16:creationId xmlns:a16="http://schemas.microsoft.com/office/drawing/2014/main" id="{F963D8C7-467A-4B66-99EE-BB7924F3CA75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1" name="$B$1">
            <a:extLst>
              <a:ext uri="{FF2B5EF4-FFF2-40B4-BE49-F238E27FC236}">
                <a16:creationId xmlns:a16="http://schemas.microsoft.com/office/drawing/2014/main" id="{8337E726-4830-472E-A090-C7AFEFC097AB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2" name="$B$1">
            <a:extLst>
              <a:ext uri="{FF2B5EF4-FFF2-40B4-BE49-F238E27FC236}">
                <a16:creationId xmlns:a16="http://schemas.microsoft.com/office/drawing/2014/main" id="{799C7E43-2414-4209-AA36-E6EAF4A24936}"/>
              </a:ext>
            </a:extLst>
          </xdr:cNvPr>
          <xdr:cNvSpPr/>
        </xdr:nvSpPr>
        <xdr:spPr>
          <a:xfrm>
            <a:off x="546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3" name="$B$1">
            <a:extLst>
              <a:ext uri="{FF2B5EF4-FFF2-40B4-BE49-F238E27FC236}">
                <a16:creationId xmlns:a16="http://schemas.microsoft.com/office/drawing/2014/main" id="{903725B8-5B70-49AE-B6CA-6BDDF8D85376}"/>
              </a:ext>
            </a:extLst>
          </xdr:cNvPr>
          <xdr:cNvSpPr/>
        </xdr:nvSpPr>
        <xdr:spPr>
          <a:xfrm>
            <a:off x="558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4" name="$B$1">
            <a:extLst>
              <a:ext uri="{FF2B5EF4-FFF2-40B4-BE49-F238E27FC236}">
                <a16:creationId xmlns:a16="http://schemas.microsoft.com/office/drawing/2014/main" id="{E35C9EF3-4E80-401B-B308-DD6BA2D7A543}"/>
              </a:ext>
            </a:extLst>
          </xdr:cNvPr>
          <xdr:cNvSpPr/>
        </xdr:nvSpPr>
        <xdr:spPr>
          <a:xfrm>
            <a:off x="571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5" name="$B$1">
            <a:extLst>
              <a:ext uri="{FF2B5EF4-FFF2-40B4-BE49-F238E27FC236}">
                <a16:creationId xmlns:a16="http://schemas.microsoft.com/office/drawing/2014/main" id="{1E0784B0-BC9F-4969-8999-00DD1CBD2C5D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6" name="$B$1">
            <a:extLst>
              <a:ext uri="{FF2B5EF4-FFF2-40B4-BE49-F238E27FC236}">
                <a16:creationId xmlns:a16="http://schemas.microsoft.com/office/drawing/2014/main" id="{764501C7-8473-48C1-9239-240DE0C8F6BA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7" name="$B$1">
            <a:extLst>
              <a:ext uri="{FF2B5EF4-FFF2-40B4-BE49-F238E27FC236}">
                <a16:creationId xmlns:a16="http://schemas.microsoft.com/office/drawing/2014/main" id="{B5063F43-BB4E-46D4-A1C3-BAADD65D480D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8" name="$B$1">
            <a:extLst>
              <a:ext uri="{FF2B5EF4-FFF2-40B4-BE49-F238E27FC236}">
                <a16:creationId xmlns:a16="http://schemas.microsoft.com/office/drawing/2014/main" id="{ACD250F1-419F-4B91-85EA-48E524BAE67B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49" name="$B$1">
            <a:extLst>
              <a:ext uri="{FF2B5EF4-FFF2-40B4-BE49-F238E27FC236}">
                <a16:creationId xmlns:a16="http://schemas.microsoft.com/office/drawing/2014/main" id="{A1A0E942-20CA-4049-9DC2-8945CD7FB248}"/>
              </a:ext>
            </a:extLst>
          </xdr:cNvPr>
          <xdr:cNvSpPr/>
        </xdr:nvSpPr>
        <xdr:spPr>
          <a:xfrm>
            <a:off x="673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0" name="$B$1">
            <a:extLst>
              <a:ext uri="{FF2B5EF4-FFF2-40B4-BE49-F238E27FC236}">
                <a16:creationId xmlns:a16="http://schemas.microsoft.com/office/drawing/2014/main" id="{10326AAC-E0D8-40BD-8386-01438CC54FA5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1" name="$B$1">
            <a:extLst>
              <a:ext uri="{FF2B5EF4-FFF2-40B4-BE49-F238E27FC236}">
                <a16:creationId xmlns:a16="http://schemas.microsoft.com/office/drawing/2014/main" id="{0B421242-8D55-406B-8C88-D8A5CBD14BAB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2" name="$B$1">
            <a:extLst>
              <a:ext uri="{FF2B5EF4-FFF2-40B4-BE49-F238E27FC236}">
                <a16:creationId xmlns:a16="http://schemas.microsoft.com/office/drawing/2014/main" id="{58890144-6CB9-4B0F-A83E-E58F4BA36373}"/>
              </a:ext>
            </a:extLst>
          </xdr:cNvPr>
          <xdr:cNvSpPr/>
        </xdr:nvSpPr>
        <xdr:spPr>
          <a:xfrm>
            <a:off x="736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3" name="$B$1">
            <a:extLst>
              <a:ext uri="{FF2B5EF4-FFF2-40B4-BE49-F238E27FC236}">
                <a16:creationId xmlns:a16="http://schemas.microsoft.com/office/drawing/2014/main" id="{4C898271-3F9D-4431-9709-765D3FF280EE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4" name="$B$1">
            <a:extLst>
              <a:ext uri="{FF2B5EF4-FFF2-40B4-BE49-F238E27FC236}">
                <a16:creationId xmlns:a16="http://schemas.microsoft.com/office/drawing/2014/main" id="{BB576A4B-4EFF-44F4-917D-9F39C935708D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5" name="$B$1">
            <a:extLst>
              <a:ext uri="{FF2B5EF4-FFF2-40B4-BE49-F238E27FC236}">
                <a16:creationId xmlns:a16="http://schemas.microsoft.com/office/drawing/2014/main" id="{2661C7CF-D97E-4A1E-B31A-840B259B172B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6" name="$B$1">
            <a:extLst>
              <a:ext uri="{FF2B5EF4-FFF2-40B4-BE49-F238E27FC236}">
                <a16:creationId xmlns:a16="http://schemas.microsoft.com/office/drawing/2014/main" id="{D7B5A67A-3C39-4E96-B9E2-174843CDD4CB}"/>
              </a:ext>
            </a:extLst>
          </xdr:cNvPr>
          <xdr:cNvSpPr/>
        </xdr:nvSpPr>
        <xdr:spPr>
          <a:xfrm>
            <a:off x="825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7" name="$B$1">
            <a:extLst>
              <a:ext uri="{FF2B5EF4-FFF2-40B4-BE49-F238E27FC236}">
                <a16:creationId xmlns:a16="http://schemas.microsoft.com/office/drawing/2014/main" id="{9AFCE386-D9A1-4716-A69A-A9CD9115006A}"/>
              </a:ext>
            </a:extLst>
          </xdr:cNvPr>
          <xdr:cNvSpPr/>
        </xdr:nvSpPr>
        <xdr:spPr>
          <a:xfrm>
            <a:off x="838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8" name="$B$1">
            <a:extLst>
              <a:ext uri="{FF2B5EF4-FFF2-40B4-BE49-F238E27FC236}">
                <a16:creationId xmlns:a16="http://schemas.microsoft.com/office/drawing/2014/main" id="{81D6B211-0D86-402B-B812-BFE2B8DDDF85}"/>
              </a:ext>
            </a:extLst>
          </xdr:cNvPr>
          <xdr:cNvSpPr/>
        </xdr:nvSpPr>
        <xdr:spPr>
          <a:xfrm>
            <a:off x="850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59" name="$B$1">
            <a:extLst>
              <a:ext uri="{FF2B5EF4-FFF2-40B4-BE49-F238E27FC236}">
                <a16:creationId xmlns:a16="http://schemas.microsoft.com/office/drawing/2014/main" id="{51B543DD-744C-4C1D-BBF1-9218C5DCAF25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0" name="$B$1">
            <a:extLst>
              <a:ext uri="{FF2B5EF4-FFF2-40B4-BE49-F238E27FC236}">
                <a16:creationId xmlns:a16="http://schemas.microsoft.com/office/drawing/2014/main" id="{00261E83-572A-449B-9469-A4574A887045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1" name="$B$1">
            <a:extLst>
              <a:ext uri="{FF2B5EF4-FFF2-40B4-BE49-F238E27FC236}">
                <a16:creationId xmlns:a16="http://schemas.microsoft.com/office/drawing/2014/main" id="{44395693-4F27-4C44-9FCB-0B559DFF77F4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2" name="$B$1">
            <a:extLst>
              <a:ext uri="{FF2B5EF4-FFF2-40B4-BE49-F238E27FC236}">
                <a16:creationId xmlns:a16="http://schemas.microsoft.com/office/drawing/2014/main" id="{C4F3FF1B-245F-4B80-8CB9-DF5D5F842EDC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3" name="$B$1">
            <a:extLst>
              <a:ext uri="{FF2B5EF4-FFF2-40B4-BE49-F238E27FC236}">
                <a16:creationId xmlns:a16="http://schemas.microsoft.com/office/drawing/2014/main" id="{EC56A0DC-4587-49D5-BB20-CA7A716AA502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4" name="$B$1">
            <a:extLst>
              <a:ext uri="{FF2B5EF4-FFF2-40B4-BE49-F238E27FC236}">
                <a16:creationId xmlns:a16="http://schemas.microsoft.com/office/drawing/2014/main" id="{F86FAF4D-51D4-4BF1-A97F-5A4F757AA2CA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5" name="$B$1">
            <a:extLst>
              <a:ext uri="{FF2B5EF4-FFF2-40B4-BE49-F238E27FC236}">
                <a16:creationId xmlns:a16="http://schemas.microsoft.com/office/drawing/2014/main" id="{A46EBF7D-E292-4EB5-8888-093F783FA907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6" name="$B$1">
            <a:extLst>
              <a:ext uri="{FF2B5EF4-FFF2-40B4-BE49-F238E27FC236}">
                <a16:creationId xmlns:a16="http://schemas.microsoft.com/office/drawing/2014/main" id="{897912BA-FB19-4927-852E-EEA0166ECB7C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7" name="$B$1">
            <a:extLst>
              <a:ext uri="{FF2B5EF4-FFF2-40B4-BE49-F238E27FC236}">
                <a16:creationId xmlns:a16="http://schemas.microsoft.com/office/drawing/2014/main" id="{D93CFB17-AB8E-491C-924B-63A299DE944B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8" name="$B$1">
            <a:extLst>
              <a:ext uri="{FF2B5EF4-FFF2-40B4-BE49-F238E27FC236}">
                <a16:creationId xmlns:a16="http://schemas.microsoft.com/office/drawing/2014/main" id="{3C0A88CD-DD3E-4990-9FF7-3A03E89CCB21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69" name="$B$1">
            <a:extLst>
              <a:ext uri="{FF2B5EF4-FFF2-40B4-BE49-F238E27FC236}">
                <a16:creationId xmlns:a16="http://schemas.microsoft.com/office/drawing/2014/main" id="{56D71D17-3037-4D61-98FB-AE2EC902144B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0" name="$B$1">
            <a:extLst>
              <a:ext uri="{FF2B5EF4-FFF2-40B4-BE49-F238E27FC236}">
                <a16:creationId xmlns:a16="http://schemas.microsoft.com/office/drawing/2014/main" id="{E20F66C2-9659-4FD9-976A-CDF404AF331D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1" name="$B$1">
            <a:extLst>
              <a:ext uri="{FF2B5EF4-FFF2-40B4-BE49-F238E27FC236}">
                <a16:creationId xmlns:a16="http://schemas.microsoft.com/office/drawing/2014/main" id="{E195DF92-8F45-45AE-8910-4C814B7C4580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2" name="$B$1">
            <a:extLst>
              <a:ext uri="{FF2B5EF4-FFF2-40B4-BE49-F238E27FC236}">
                <a16:creationId xmlns:a16="http://schemas.microsoft.com/office/drawing/2014/main" id="{870B5752-C500-447E-94C6-0E499B17D046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3" name="$B$1">
            <a:extLst>
              <a:ext uri="{FF2B5EF4-FFF2-40B4-BE49-F238E27FC236}">
                <a16:creationId xmlns:a16="http://schemas.microsoft.com/office/drawing/2014/main" id="{D66F1A7E-5C63-4C76-A858-F869D39E6418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4" name="$B$1">
            <a:extLst>
              <a:ext uri="{FF2B5EF4-FFF2-40B4-BE49-F238E27FC236}">
                <a16:creationId xmlns:a16="http://schemas.microsoft.com/office/drawing/2014/main" id="{8407E5EC-A5A8-4072-9B20-B964E77AC26E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5" name="$B$1">
            <a:extLst>
              <a:ext uri="{FF2B5EF4-FFF2-40B4-BE49-F238E27FC236}">
                <a16:creationId xmlns:a16="http://schemas.microsoft.com/office/drawing/2014/main" id="{01409E25-B385-4904-8F82-7F010FFE62BF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6" name="$B$1">
            <a:extLst>
              <a:ext uri="{FF2B5EF4-FFF2-40B4-BE49-F238E27FC236}">
                <a16:creationId xmlns:a16="http://schemas.microsoft.com/office/drawing/2014/main" id="{3779F3C6-4863-49E7-93B2-7A705D8E55E7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7" name="$B$1">
            <a:extLst>
              <a:ext uri="{FF2B5EF4-FFF2-40B4-BE49-F238E27FC236}">
                <a16:creationId xmlns:a16="http://schemas.microsoft.com/office/drawing/2014/main" id="{48FCB60F-7433-40C8-B66C-DB1475795BF9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8" name="$B$1">
            <a:extLst>
              <a:ext uri="{FF2B5EF4-FFF2-40B4-BE49-F238E27FC236}">
                <a16:creationId xmlns:a16="http://schemas.microsoft.com/office/drawing/2014/main" id="{83117268-8E03-4AD7-BD6D-6A315F321AA1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79" name="$B$1">
            <a:extLst>
              <a:ext uri="{FF2B5EF4-FFF2-40B4-BE49-F238E27FC236}">
                <a16:creationId xmlns:a16="http://schemas.microsoft.com/office/drawing/2014/main" id="{2D2C3243-DC5F-4213-99A3-A1EC04FF3E8F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0" name="$B$1">
            <a:extLst>
              <a:ext uri="{FF2B5EF4-FFF2-40B4-BE49-F238E27FC236}">
                <a16:creationId xmlns:a16="http://schemas.microsoft.com/office/drawing/2014/main" id="{3E3CC63A-3B67-4C50-997B-E2C8FCB8DA95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1" name="$B$1">
            <a:extLst>
              <a:ext uri="{FF2B5EF4-FFF2-40B4-BE49-F238E27FC236}">
                <a16:creationId xmlns:a16="http://schemas.microsoft.com/office/drawing/2014/main" id="{6031A0C9-C249-4526-92E4-5BED22DBA250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2" name="$B$1">
            <a:extLst>
              <a:ext uri="{FF2B5EF4-FFF2-40B4-BE49-F238E27FC236}">
                <a16:creationId xmlns:a16="http://schemas.microsoft.com/office/drawing/2014/main" id="{9B3F3C83-71F3-45A6-85E0-64472C722CD6}"/>
              </a:ext>
            </a:extLst>
          </xdr:cNvPr>
          <xdr:cNvSpPr/>
        </xdr:nvSpPr>
        <xdr:spPr>
          <a:xfrm>
            <a:off x="241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3" name="$B$1">
            <a:extLst>
              <a:ext uri="{FF2B5EF4-FFF2-40B4-BE49-F238E27FC236}">
                <a16:creationId xmlns:a16="http://schemas.microsoft.com/office/drawing/2014/main" id="{DE686DCC-E105-41C3-A127-50383BBEADB4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4" name="$B$1">
            <a:extLst>
              <a:ext uri="{FF2B5EF4-FFF2-40B4-BE49-F238E27FC236}">
                <a16:creationId xmlns:a16="http://schemas.microsoft.com/office/drawing/2014/main" id="{AA8AC3CE-C538-4DC8-B5E9-F6A820874515}"/>
              </a:ext>
            </a:extLst>
          </xdr:cNvPr>
          <xdr:cNvSpPr/>
        </xdr:nvSpPr>
        <xdr:spPr>
          <a:xfrm>
            <a:off x="266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5" name="$B$1">
            <a:extLst>
              <a:ext uri="{FF2B5EF4-FFF2-40B4-BE49-F238E27FC236}">
                <a16:creationId xmlns:a16="http://schemas.microsoft.com/office/drawing/2014/main" id="{98A7E32D-6D92-4A81-BC5D-7917FDDBDE3F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6" name="$B$1">
            <a:extLst>
              <a:ext uri="{FF2B5EF4-FFF2-40B4-BE49-F238E27FC236}">
                <a16:creationId xmlns:a16="http://schemas.microsoft.com/office/drawing/2014/main" id="{028C9B27-CDEB-400A-85CC-A24806BBBF43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7" name="$B$1">
            <a:extLst>
              <a:ext uri="{FF2B5EF4-FFF2-40B4-BE49-F238E27FC236}">
                <a16:creationId xmlns:a16="http://schemas.microsoft.com/office/drawing/2014/main" id="{CF09FDBC-EA7E-42E4-8FD9-2895F5D96B46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8" name="$B$1">
            <a:extLst>
              <a:ext uri="{FF2B5EF4-FFF2-40B4-BE49-F238E27FC236}">
                <a16:creationId xmlns:a16="http://schemas.microsoft.com/office/drawing/2014/main" id="{0A3FB127-A72D-41D9-ACBA-76C99E60DCE6}"/>
              </a:ext>
            </a:extLst>
          </xdr:cNvPr>
          <xdr:cNvSpPr/>
        </xdr:nvSpPr>
        <xdr:spPr>
          <a:xfrm>
            <a:off x="342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89" name="$B$1">
            <a:extLst>
              <a:ext uri="{FF2B5EF4-FFF2-40B4-BE49-F238E27FC236}">
                <a16:creationId xmlns:a16="http://schemas.microsoft.com/office/drawing/2014/main" id="{7987ACF7-F91D-49EE-81C3-72F2264374A7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0" name="$B$1">
            <a:extLst>
              <a:ext uri="{FF2B5EF4-FFF2-40B4-BE49-F238E27FC236}">
                <a16:creationId xmlns:a16="http://schemas.microsoft.com/office/drawing/2014/main" id="{C7402E85-D32E-4183-8EAE-9370914314AA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1" name="$B$1">
            <a:extLst>
              <a:ext uri="{FF2B5EF4-FFF2-40B4-BE49-F238E27FC236}">
                <a16:creationId xmlns:a16="http://schemas.microsoft.com/office/drawing/2014/main" id="{C3602C8C-7BA9-466E-9045-6CA003D975A1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2" name="$B$1">
            <a:extLst>
              <a:ext uri="{FF2B5EF4-FFF2-40B4-BE49-F238E27FC236}">
                <a16:creationId xmlns:a16="http://schemas.microsoft.com/office/drawing/2014/main" id="{58478A05-E17C-47BB-8EE6-2E4BD151E9CF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3" name="$B$1">
            <a:extLst>
              <a:ext uri="{FF2B5EF4-FFF2-40B4-BE49-F238E27FC236}">
                <a16:creationId xmlns:a16="http://schemas.microsoft.com/office/drawing/2014/main" id="{0F5F579A-45AE-468E-B827-6F74FF367C09}"/>
              </a:ext>
            </a:extLst>
          </xdr:cNvPr>
          <xdr:cNvSpPr/>
        </xdr:nvSpPr>
        <xdr:spPr>
          <a:xfrm>
            <a:off x="419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4" name="$B$1">
            <a:extLst>
              <a:ext uri="{FF2B5EF4-FFF2-40B4-BE49-F238E27FC236}">
                <a16:creationId xmlns:a16="http://schemas.microsoft.com/office/drawing/2014/main" id="{FB32042A-03BF-4BFE-AA36-11C9271F66B9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5" name="$B$1">
            <a:extLst>
              <a:ext uri="{FF2B5EF4-FFF2-40B4-BE49-F238E27FC236}">
                <a16:creationId xmlns:a16="http://schemas.microsoft.com/office/drawing/2014/main" id="{DAB201A1-B688-418A-B123-2A430E4219DD}"/>
              </a:ext>
            </a:extLst>
          </xdr:cNvPr>
          <xdr:cNvSpPr/>
        </xdr:nvSpPr>
        <xdr:spPr>
          <a:xfrm>
            <a:off x="469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6" name="$B$1">
            <a:extLst>
              <a:ext uri="{FF2B5EF4-FFF2-40B4-BE49-F238E27FC236}">
                <a16:creationId xmlns:a16="http://schemas.microsoft.com/office/drawing/2014/main" id="{CC3815A8-35D6-472B-B23C-349E5C25B19B}"/>
              </a:ext>
            </a:extLst>
          </xdr:cNvPr>
          <xdr:cNvSpPr/>
        </xdr:nvSpPr>
        <xdr:spPr>
          <a:xfrm>
            <a:off x="482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7" name="$B$1">
            <a:extLst>
              <a:ext uri="{FF2B5EF4-FFF2-40B4-BE49-F238E27FC236}">
                <a16:creationId xmlns:a16="http://schemas.microsoft.com/office/drawing/2014/main" id="{2A09528F-C462-446F-8904-B39C3339D2C8}"/>
              </a:ext>
            </a:extLst>
          </xdr:cNvPr>
          <xdr:cNvSpPr/>
        </xdr:nvSpPr>
        <xdr:spPr>
          <a:xfrm>
            <a:off x="495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8" name="$B$1">
            <a:extLst>
              <a:ext uri="{FF2B5EF4-FFF2-40B4-BE49-F238E27FC236}">
                <a16:creationId xmlns:a16="http://schemas.microsoft.com/office/drawing/2014/main" id="{146785F4-B101-452E-AB53-950A7872F284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99" name="$B$1">
            <a:extLst>
              <a:ext uri="{FF2B5EF4-FFF2-40B4-BE49-F238E27FC236}">
                <a16:creationId xmlns:a16="http://schemas.microsoft.com/office/drawing/2014/main" id="{A2989F6C-AC30-4EF4-BE56-17D25729A151}"/>
              </a:ext>
            </a:extLst>
          </xdr:cNvPr>
          <xdr:cNvSpPr/>
        </xdr:nvSpPr>
        <xdr:spPr>
          <a:xfrm>
            <a:off x="533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0" name="$B$1">
            <a:extLst>
              <a:ext uri="{FF2B5EF4-FFF2-40B4-BE49-F238E27FC236}">
                <a16:creationId xmlns:a16="http://schemas.microsoft.com/office/drawing/2014/main" id="{FE09F7CE-36E1-4395-BE27-2AC26C8D18B6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1" name="$B$1">
            <a:extLst>
              <a:ext uri="{FF2B5EF4-FFF2-40B4-BE49-F238E27FC236}">
                <a16:creationId xmlns:a16="http://schemas.microsoft.com/office/drawing/2014/main" id="{EC907BE2-26BF-4982-ABD7-A271FE80A964}"/>
              </a:ext>
            </a:extLst>
          </xdr:cNvPr>
          <xdr:cNvSpPr/>
        </xdr:nvSpPr>
        <xdr:spPr>
          <a:xfrm>
            <a:off x="558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2" name="$B$1">
            <a:extLst>
              <a:ext uri="{FF2B5EF4-FFF2-40B4-BE49-F238E27FC236}">
                <a16:creationId xmlns:a16="http://schemas.microsoft.com/office/drawing/2014/main" id="{AF7524FA-074C-44C3-A700-9C60706ABF24}"/>
              </a:ext>
            </a:extLst>
          </xdr:cNvPr>
          <xdr:cNvSpPr/>
        </xdr:nvSpPr>
        <xdr:spPr>
          <a:xfrm>
            <a:off x="584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3" name="$B$1">
            <a:extLst>
              <a:ext uri="{FF2B5EF4-FFF2-40B4-BE49-F238E27FC236}">
                <a16:creationId xmlns:a16="http://schemas.microsoft.com/office/drawing/2014/main" id="{7549DEAC-0F55-4704-857F-D5B1A537EDB0}"/>
              </a:ext>
            </a:extLst>
          </xdr:cNvPr>
          <xdr:cNvSpPr/>
        </xdr:nvSpPr>
        <xdr:spPr>
          <a:xfrm>
            <a:off x="596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4" name="$B$1">
            <a:extLst>
              <a:ext uri="{FF2B5EF4-FFF2-40B4-BE49-F238E27FC236}">
                <a16:creationId xmlns:a16="http://schemas.microsoft.com/office/drawing/2014/main" id="{709E08FE-9AB6-4652-A23F-16B4C61959E6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5" name="$B$1">
            <a:extLst>
              <a:ext uri="{FF2B5EF4-FFF2-40B4-BE49-F238E27FC236}">
                <a16:creationId xmlns:a16="http://schemas.microsoft.com/office/drawing/2014/main" id="{01A29997-13A0-4A2C-807D-5CC907FFA04F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6" name="$B$1">
            <a:extLst>
              <a:ext uri="{FF2B5EF4-FFF2-40B4-BE49-F238E27FC236}">
                <a16:creationId xmlns:a16="http://schemas.microsoft.com/office/drawing/2014/main" id="{2C6DC654-A110-4295-ACFF-8DF8C2FD309D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7" name="$B$1">
            <a:extLst>
              <a:ext uri="{FF2B5EF4-FFF2-40B4-BE49-F238E27FC236}">
                <a16:creationId xmlns:a16="http://schemas.microsoft.com/office/drawing/2014/main" id="{ADCA2CC3-65E7-47A2-B9B0-57509BE57EC0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8" name="$B$1">
            <a:extLst>
              <a:ext uri="{FF2B5EF4-FFF2-40B4-BE49-F238E27FC236}">
                <a16:creationId xmlns:a16="http://schemas.microsoft.com/office/drawing/2014/main" id="{32C7DB09-7A31-48EB-8C2A-D99C164E7197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09" name="$B$1">
            <a:extLst>
              <a:ext uri="{FF2B5EF4-FFF2-40B4-BE49-F238E27FC236}">
                <a16:creationId xmlns:a16="http://schemas.microsoft.com/office/drawing/2014/main" id="{A3FC6312-4555-48E3-92E3-C1DF473167EA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0" name="$B$1">
            <a:extLst>
              <a:ext uri="{FF2B5EF4-FFF2-40B4-BE49-F238E27FC236}">
                <a16:creationId xmlns:a16="http://schemas.microsoft.com/office/drawing/2014/main" id="{1402D04A-6C4C-4A11-95BB-6E41D06B51C7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1" name="$B$1">
            <a:extLst>
              <a:ext uri="{FF2B5EF4-FFF2-40B4-BE49-F238E27FC236}">
                <a16:creationId xmlns:a16="http://schemas.microsoft.com/office/drawing/2014/main" id="{4FB50253-4354-4706-A4E9-E9F88DFECF24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2" name="$B$1">
            <a:extLst>
              <a:ext uri="{FF2B5EF4-FFF2-40B4-BE49-F238E27FC236}">
                <a16:creationId xmlns:a16="http://schemas.microsoft.com/office/drawing/2014/main" id="{D9C8CD63-F5CA-4AA4-8E01-D105F190BADA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3" name="$B$1">
            <a:extLst>
              <a:ext uri="{FF2B5EF4-FFF2-40B4-BE49-F238E27FC236}">
                <a16:creationId xmlns:a16="http://schemas.microsoft.com/office/drawing/2014/main" id="{8308514F-9E4A-4025-9142-0252204AB5B1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4" name="$B$1">
            <a:extLst>
              <a:ext uri="{FF2B5EF4-FFF2-40B4-BE49-F238E27FC236}">
                <a16:creationId xmlns:a16="http://schemas.microsoft.com/office/drawing/2014/main" id="{391894D9-AF85-4DED-BF48-4022C5EA991A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5" name="$B$1">
            <a:extLst>
              <a:ext uri="{FF2B5EF4-FFF2-40B4-BE49-F238E27FC236}">
                <a16:creationId xmlns:a16="http://schemas.microsoft.com/office/drawing/2014/main" id="{5E24A4D7-779A-43FB-9014-F1587956757D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6" name="$B$1">
            <a:extLst>
              <a:ext uri="{FF2B5EF4-FFF2-40B4-BE49-F238E27FC236}">
                <a16:creationId xmlns:a16="http://schemas.microsoft.com/office/drawing/2014/main" id="{D3F5A74F-D58E-4566-95E6-E000609B3D28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7" name="$B$1">
            <a:extLst>
              <a:ext uri="{FF2B5EF4-FFF2-40B4-BE49-F238E27FC236}">
                <a16:creationId xmlns:a16="http://schemas.microsoft.com/office/drawing/2014/main" id="{4CF20549-0D62-4453-B5C3-FB0FF969F6A8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8" name="$B$1">
            <a:extLst>
              <a:ext uri="{FF2B5EF4-FFF2-40B4-BE49-F238E27FC236}">
                <a16:creationId xmlns:a16="http://schemas.microsoft.com/office/drawing/2014/main" id="{2B3DEEDA-F2A0-4A5B-91E5-110D6EDF461F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19" name="$B$1">
            <a:extLst>
              <a:ext uri="{FF2B5EF4-FFF2-40B4-BE49-F238E27FC236}">
                <a16:creationId xmlns:a16="http://schemas.microsoft.com/office/drawing/2014/main" id="{6B93641D-48A9-4817-924D-98E1798AD213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0" name="$B$1">
            <a:extLst>
              <a:ext uri="{FF2B5EF4-FFF2-40B4-BE49-F238E27FC236}">
                <a16:creationId xmlns:a16="http://schemas.microsoft.com/office/drawing/2014/main" id="{71351DCA-F097-4DF0-953B-8E8FACE2D3C4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1" name="$B$1">
            <a:extLst>
              <a:ext uri="{FF2B5EF4-FFF2-40B4-BE49-F238E27FC236}">
                <a16:creationId xmlns:a16="http://schemas.microsoft.com/office/drawing/2014/main" id="{C3A36C44-38E5-43A6-9007-828B21FF3A61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2" name="$B$1">
            <a:extLst>
              <a:ext uri="{FF2B5EF4-FFF2-40B4-BE49-F238E27FC236}">
                <a16:creationId xmlns:a16="http://schemas.microsoft.com/office/drawing/2014/main" id="{CF90B166-EE5B-4A09-A9B0-A8AF9854428B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3" name="$B$1">
            <a:extLst>
              <a:ext uri="{FF2B5EF4-FFF2-40B4-BE49-F238E27FC236}">
                <a16:creationId xmlns:a16="http://schemas.microsoft.com/office/drawing/2014/main" id="{23A41B15-91D6-4B5F-9ED4-D1F48F4817FC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4" name="$B$1">
            <a:extLst>
              <a:ext uri="{FF2B5EF4-FFF2-40B4-BE49-F238E27FC236}">
                <a16:creationId xmlns:a16="http://schemas.microsoft.com/office/drawing/2014/main" id="{2367B51B-DEF3-4C6C-AD18-90D76A381EC0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5" name="$B$1">
            <a:extLst>
              <a:ext uri="{FF2B5EF4-FFF2-40B4-BE49-F238E27FC236}">
                <a16:creationId xmlns:a16="http://schemas.microsoft.com/office/drawing/2014/main" id="{380117B0-542C-4A9B-835A-610C3A1A0817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6" name="$B$1">
            <a:extLst>
              <a:ext uri="{FF2B5EF4-FFF2-40B4-BE49-F238E27FC236}">
                <a16:creationId xmlns:a16="http://schemas.microsoft.com/office/drawing/2014/main" id="{05F23A9A-6F2F-441A-A6D7-2D477B32C801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7" name="$B$1">
            <a:extLst>
              <a:ext uri="{FF2B5EF4-FFF2-40B4-BE49-F238E27FC236}">
                <a16:creationId xmlns:a16="http://schemas.microsoft.com/office/drawing/2014/main" id="{F7E2ABC3-CF07-4F87-B870-476164043DC7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8" name="$B$1">
            <a:extLst>
              <a:ext uri="{FF2B5EF4-FFF2-40B4-BE49-F238E27FC236}">
                <a16:creationId xmlns:a16="http://schemas.microsoft.com/office/drawing/2014/main" id="{85451E3A-2D87-48B0-8BC7-F5A9770B90D9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29" name="$B$1">
            <a:extLst>
              <a:ext uri="{FF2B5EF4-FFF2-40B4-BE49-F238E27FC236}">
                <a16:creationId xmlns:a16="http://schemas.microsoft.com/office/drawing/2014/main" id="{9B6F349B-051A-43E8-A475-B6653139396C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0" name="$B$1">
            <a:extLst>
              <a:ext uri="{FF2B5EF4-FFF2-40B4-BE49-F238E27FC236}">
                <a16:creationId xmlns:a16="http://schemas.microsoft.com/office/drawing/2014/main" id="{5F51E040-3D52-4ACB-9C4D-DFB4D5265B82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1" name="$B$1">
            <a:extLst>
              <a:ext uri="{FF2B5EF4-FFF2-40B4-BE49-F238E27FC236}">
                <a16:creationId xmlns:a16="http://schemas.microsoft.com/office/drawing/2014/main" id="{0E6DBA77-90AF-43A2-AB65-C7607BD49156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2" name="$B$1">
            <a:extLst>
              <a:ext uri="{FF2B5EF4-FFF2-40B4-BE49-F238E27FC236}">
                <a16:creationId xmlns:a16="http://schemas.microsoft.com/office/drawing/2014/main" id="{695BFFAB-00DC-463E-AB73-639E5377AF91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3" name="$B$1">
            <a:extLst>
              <a:ext uri="{FF2B5EF4-FFF2-40B4-BE49-F238E27FC236}">
                <a16:creationId xmlns:a16="http://schemas.microsoft.com/office/drawing/2014/main" id="{F51D2610-8A31-4F53-A451-DA5AC5F32AF2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4" name="$B$1">
            <a:extLst>
              <a:ext uri="{FF2B5EF4-FFF2-40B4-BE49-F238E27FC236}">
                <a16:creationId xmlns:a16="http://schemas.microsoft.com/office/drawing/2014/main" id="{89A8A46F-B302-4F75-B9E1-63B800296EFA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5" name="$B$1">
            <a:extLst>
              <a:ext uri="{FF2B5EF4-FFF2-40B4-BE49-F238E27FC236}">
                <a16:creationId xmlns:a16="http://schemas.microsoft.com/office/drawing/2014/main" id="{5E485220-6026-4E64-91F3-CA9D7B8B4600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6" name="$B$1">
            <a:extLst>
              <a:ext uri="{FF2B5EF4-FFF2-40B4-BE49-F238E27FC236}">
                <a16:creationId xmlns:a16="http://schemas.microsoft.com/office/drawing/2014/main" id="{66BBEFDB-F5E0-43C7-ABF9-F75547EE4D85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7" name="$B$1">
            <a:extLst>
              <a:ext uri="{FF2B5EF4-FFF2-40B4-BE49-F238E27FC236}">
                <a16:creationId xmlns:a16="http://schemas.microsoft.com/office/drawing/2014/main" id="{ADCB4613-2B6A-4276-AE24-3A08DBBB95F7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8" name="$B$1">
            <a:extLst>
              <a:ext uri="{FF2B5EF4-FFF2-40B4-BE49-F238E27FC236}">
                <a16:creationId xmlns:a16="http://schemas.microsoft.com/office/drawing/2014/main" id="{DD6E40B9-34AE-4283-8E4C-4EBA1644EE65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39" name="$B$1">
            <a:extLst>
              <a:ext uri="{FF2B5EF4-FFF2-40B4-BE49-F238E27FC236}">
                <a16:creationId xmlns:a16="http://schemas.microsoft.com/office/drawing/2014/main" id="{4500220C-EC32-4DEB-BCE0-7B7A8EC3CC23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0" name="$B$1">
            <a:extLst>
              <a:ext uri="{FF2B5EF4-FFF2-40B4-BE49-F238E27FC236}">
                <a16:creationId xmlns:a16="http://schemas.microsoft.com/office/drawing/2014/main" id="{9BF374B8-ED8B-4595-A2EC-1D879FF7D416}"/>
              </a:ext>
            </a:extLst>
          </xdr:cNvPr>
          <xdr:cNvSpPr/>
        </xdr:nvSpPr>
        <xdr:spPr>
          <a:xfrm>
            <a:off x="254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1" name="$B$1">
            <a:extLst>
              <a:ext uri="{FF2B5EF4-FFF2-40B4-BE49-F238E27FC236}">
                <a16:creationId xmlns:a16="http://schemas.microsoft.com/office/drawing/2014/main" id="{811DE3E7-0746-4B89-B025-A57F1CC7F7F9}"/>
              </a:ext>
            </a:extLst>
          </xdr:cNvPr>
          <xdr:cNvSpPr/>
        </xdr:nvSpPr>
        <xdr:spPr>
          <a:xfrm>
            <a:off x="279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2" name="$B$1">
            <a:extLst>
              <a:ext uri="{FF2B5EF4-FFF2-40B4-BE49-F238E27FC236}">
                <a16:creationId xmlns:a16="http://schemas.microsoft.com/office/drawing/2014/main" id="{9A30F051-260C-4AD4-985B-50F426D4C2B9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3" name="$B$1">
            <a:extLst>
              <a:ext uri="{FF2B5EF4-FFF2-40B4-BE49-F238E27FC236}">
                <a16:creationId xmlns:a16="http://schemas.microsoft.com/office/drawing/2014/main" id="{52F86042-C257-44AF-8BEB-69FB5BF2DF64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4" name="$B$1">
            <a:extLst>
              <a:ext uri="{FF2B5EF4-FFF2-40B4-BE49-F238E27FC236}">
                <a16:creationId xmlns:a16="http://schemas.microsoft.com/office/drawing/2014/main" id="{11D4C923-16F0-4652-8504-FEE5AF07445C}"/>
              </a:ext>
            </a:extLst>
          </xdr:cNvPr>
          <xdr:cNvSpPr/>
        </xdr:nvSpPr>
        <xdr:spPr>
          <a:xfrm>
            <a:off x="330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5" name="$B$1">
            <a:extLst>
              <a:ext uri="{FF2B5EF4-FFF2-40B4-BE49-F238E27FC236}">
                <a16:creationId xmlns:a16="http://schemas.microsoft.com/office/drawing/2014/main" id="{B37ABBF0-2915-4DB3-A382-3CA0D4724AA1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6" name="$B$1">
            <a:extLst>
              <a:ext uri="{FF2B5EF4-FFF2-40B4-BE49-F238E27FC236}">
                <a16:creationId xmlns:a16="http://schemas.microsoft.com/office/drawing/2014/main" id="{9E99A470-8670-44A5-B4E5-CDAC1505E9E8}"/>
              </a:ext>
            </a:extLst>
          </xdr:cNvPr>
          <xdr:cNvSpPr/>
        </xdr:nvSpPr>
        <xdr:spPr>
          <a:xfrm>
            <a:off x="406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7" name="$B$1">
            <a:extLst>
              <a:ext uri="{FF2B5EF4-FFF2-40B4-BE49-F238E27FC236}">
                <a16:creationId xmlns:a16="http://schemas.microsoft.com/office/drawing/2014/main" id="{1CAFEBDE-DA96-46C6-AFA9-2D758761479D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8" name="$B$1">
            <a:extLst>
              <a:ext uri="{FF2B5EF4-FFF2-40B4-BE49-F238E27FC236}">
                <a16:creationId xmlns:a16="http://schemas.microsoft.com/office/drawing/2014/main" id="{4420F59B-DD3C-40A0-BA17-939087F8D197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49" name="$B$1">
            <a:extLst>
              <a:ext uri="{FF2B5EF4-FFF2-40B4-BE49-F238E27FC236}">
                <a16:creationId xmlns:a16="http://schemas.microsoft.com/office/drawing/2014/main" id="{0C3523B5-F9C8-4C49-879C-9CF82C474E96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0" name="$B$1">
            <a:extLst>
              <a:ext uri="{FF2B5EF4-FFF2-40B4-BE49-F238E27FC236}">
                <a16:creationId xmlns:a16="http://schemas.microsoft.com/office/drawing/2014/main" id="{BEFC4E39-BBEB-40EF-B930-D59AB898A6AD}"/>
              </a:ext>
            </a:extLst>
          </xdr:cNvPr>
          <xdr:cNvSpPr/>
        </xdr:nvSpPr>
        <xdr:spPr>
          <a:xfrm>
            <a:off x="558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1" name="$B$1">
            <a:extLst>
              <a:ext uri="{FF2B5EF4-FFF2-40B4-BE49-F238E27FC236}">
                <a16:creationId xmlns:a16="http://schemas.microsoft.com/office/drawing/2014/main" id="{A48E9A85-C86E-4302-83A6-CA57FA0ED41F}"/>
              </a:ext>
            </a:extLst>
          </xdr:cNvPr>
          <xdr:cNvSpPr/>
        </xdr:nvSpPr>
        <xdr:spPr>
          <a:xfrm>
            <a:off x="596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2" name="$B$1">
            <a:extLst>
              <a:ext uri="{FF2B5EF4-FFF2-40B4-BE49-F238E27FC236}">
                <a16:creationId xmlns:a16="http://schemas.microsoft.com/office/drawing/2014/main" id="{5081C011-27B6-4307-8888-92A45B518213}"/>
              </a:ext>
            </a:extLst>
          </xdr:cNvPr>
          <xdr:cNvSpPr/>
        </xdr:nvSpPr>
        <xdr:spPr>
          <a:xfrm>
            <a:off x="609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3" name="$B$1">
            <a:extLst>
              <a:ext uri="{FF2B5EF4-FFF2-40B4-BE49-F238E27FC236}">
                <a16:creationId xmlns:a16="http://schemas.microsoft.com/office/drawing/2014/main" id="{81144A79-A6CE-4349-9713-871753F8313E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4" name="$B$1">
            <a:extLst>
              <a:ext uri="{FF2B5EF4-FFF2-40B4-BE49-F238E27FC236}">
                <a16:creationId xmlns:a16="http://schemas.microsoft.com/office/drawing/2014/main" id="{F963B1A6-771A-46ED-B04B-FD7CCDCE2AAC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5" name="$B$1">
            <a:extLst>
              <a:ext uri="{FF2B5EF4-FFF2-40B4-BE49-F238E27FC236}">
                <a16:creationId xmlns:a16="http://schemas.microsoft.com/office/drawing/2014/main" id="{38BE3451-C210-4EE1-B830-E31AA484C8BF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6" name="$B$1">
            <a:extLst>
              <a:ext uri="{FF2B5EF4-FFF2-40B4-BE49-F238E27FC236}">
                <a16:creationId xmlns:a16="http://schemas.microsoft.com/office/drawing/2014/main" id="{A1127DB4-255D-4A5A-9A8C-9FAC1B73293A}"/>
              </a:ext>
            </a:extLst>
          </xdr:cNvPr>
          <xdr:cNvSpPr/>
        </xdr:nvSpPr>
        <xdr:spPr>
          <a:xfrm>
            <a:off x="685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7" name="$B$1">
            <a:extLst>
              <a:ext uri="{FF2B5EF4-FFF2-40B4-BE49-F238E27FC236}">
                <a16:creationId xmlns:a16="http://schemas.microsoft.com/office/drawing/2014/main" id="{763BC232-59AA-4899-B497-C7E1D46E2A61}"/>
              </a:ext>
            </a:extLst>
          </xdr:cNvPr>
          <xdr:cNvSpPr/>
        </xdr:nvSpPr>
        <xdr:spPr>
          <a:xfrm>
            <a:off x="711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8" name="$B$1">
            <a:extLst>
              <a:ext uri="{FF2B5EF4-FFF2-40B4-BE49-F238E27FC236}">
                <a16:creationId xmlns:a16="http://schemas.microsoft.com/office/drawing/2014/main" id="{F75792C0-4BAB-448C-A7AE-F60CA5AD2A72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59" name="$B$1">
            <a:extLst>
              <a:ext uri="{FF2B5EF4-FFF2-40B4-BE49-F238E27FC236}">
                <a16:creationId xmlns:a16="http://schemas.microsoft.com/office/drawing/2014/main" id="{7FAF6D01-AA76-4542-A853-0C2B3BBAA3E4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0" name="$B$1">
            <a:extLst>
              <a:ext uri="{FF2B5EF4-FFF2-40B4-BE49-F238E27FC236}">
                <a16:creationId xmlns:a16="http://schemas.microsoft.com/office/drawing/2014/main" id="{7103CE45-8F79-49AE-9FB4-000C5CB4FD07}"/>
              </a:ext>
            </a:extLst>
          </xdr:cNvPr>
          <xdr:cNvSpPr/>
        </xdr:nvSpPr>
        <xdr:spPr>
          <a:xfrm>
            <a:off x="762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1" name="$B$1">
            <a:extLst>
              <a:ext uri="{FF2B5EF4-FFF2-40B4-BE49-F238E27FC236}">
                <a16:creationId xmlns:a16="http://schemas.microsoft.com/office/drawing/2014/main" id="{C1AFC971-EB95-4998-B761-3AED59A5F3C7}"/>
              </a:ext>
            </a:extLst>
          </xdr:cNvPr>
          <xdr:cNvSpPr/>
        </xdr:nvSpPr>
        <xdr:spPr>
          <a:xfrm>
            <a:off x="812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2" name="$B$1">
            <a:extLst>
              <a:ext uri="{FF2B5EF4-FFF2-40B4-BE49-F238E27FC236}">
                <a16:creationId xmlns:a16="http://schemas.microsoft.com/office/drawing/2014/main" id="{7EFD24F4-3192-4597-9741-8F1A2102D96F}"/>
              </a:ext>
            </a:extLst>
          </xdr:cNvPr>
          <xdr:cNvSpPr/>
        </xdr:nvSpPr>
        <xdr:spPr>
          <a:xfrm>
            <a:off x="825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3" name="$B$1">
            <a:extLst>
              <a:ext uri="{FF2B5EF4-FFF2-40B4-BE49-F238E27FC236}">
                <a16:creationId xmlns:a16="http://schemas.microsoft.com/office/drawing/2014/main" id="{CAC28CA5-2317-47E6-A462-ED73A5930141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4" name="$B$1">
            <a:extLst>
              <a:ext uri="{FF2B5EF4-FFF2-40B4-BE49-F238E27FC236}">
                <a16:creationId xmlns:a16="http://schemas.microsoft.com/office/drawing/2014/main" id="{F5477822-39C0-4CFB-B8D1-6B50598B6712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5" name="$B$1">
            <a:extLst>
              <a:ext uri="{FF2B5EF4-FFF2-40B4-BE49-F238E27FC236}">
                <a16:creationId xmlns:a16="http://schemas.microsoft.com/office/drawing/2014/main" id="{EECA2AE0-37E8-45D1-A931-3D70BD84EA5C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6" name="$B$1">
            <a:extLst>
              <a:ext uri="{FF2B5EF4-FFF2-40B4-BE49-F238E27FC236}">
                <a16:creationId xmlns:a16="http://schemas.microsoft.com/office/drawing/2014/main" id="{8C55D2A9-52A4-4EA8-983E-3BC82710460F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7" name="$B$1">
            <a:extLst>
              <a:ext uri="{FF2B5EF4-FFF2-40B4-BE49-F238E27FC236}">
                <a16:creationId xmlns:a16="http://schemas.microsoft.com/office/drawing/2014/main" id="{DAA89B03-04EB-4856-9867-AC8DEF5B1176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8" name="$B$1">
            <a:extLst>
              <a:ext uri="{FF2B5EF4-FFF2-40B4-BE49-F238E27FC236}">
                <a16:creationId xmlns:a16="http://schemas.microsoft.com/office/drawing/2014/main" id="{C0397D76-69A4-4E67-8937-E9CE1426F8D0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69" name="$B$1">
            <a:extLst>
              <a:ext uri="{FF2B5EF4-FFF2-40B4-BE49-F238E27FC236}">
                <a16:creationId xmlns:a16="http://schemas.microsoft.com/office/drawing/2014/main" id="{D4DAFA20-ED96-483F-94EB-BD825F0F0936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0" name="$B$1">
            <a:extLst>
              <a:ext uri="{FF2B5EF4-FFF2-40B4-BE49-F238E27FC236}">
                <a16:creationId xmlns:a16="http://schemas.microsoft.com/office/drawing/2014/main" id="{F30F8CFF-C0B3-42A1-8BF5-0B34DB593B38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1" name="$B$1">
            <a:extLst>
              <a:ext uri="{FF2B5EF4-FFF2-40B4-BE49-F238E27FC236}">
                <a16:creationId xmlns:a16="http://schemas.microsoft.com/office/drawing/2014/main" id="{477810D7-BBAD-4CEE-890D-E4A048596FF5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2" name="$B$1">
            <a:extLst>
              <a:ext uri="{FF2B5EF4-FFF2-40B4-BE49-F238E27FC236}">
                <a16:creationId xmlns:a16="http://schemas.microsoft.com/office/drawing/2014/main" id="{C5DD25D7-7828-41F2-A220-59C9E33BFEA3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3" name="$B$1">
            <a:extLst>
              <a:ext uri="{FF2B5EF4-FFF2-40B4-BE49-F238E27FC236}">
                <a16:creationId xmlns:a16="http://schemas.microsoft.com/office/drawing/2014/main" id="{2D9131A3-6DF1-4DCD-ACC3-B4B13A4BC2C8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4" name="$B$1">
            <a:extLst>
              <a:ext uri="{FF2B5EF4-FFF2-40B4-BE49-F238E27FC236}">
                <a16:creationId xmlns:a16="http://schemas.microsoft.com/office/drawing/2014/main" id="{7DC06228-0E3E-405A-BEDB-B48D5D1628D8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5" name="$B$1">
            <a:extLst>
              <a:ext uri="{FF2B5EF4-FFF2-40B4-BE49-F238E27FC236}">
                <a16:creationId xmlns:a16="http://schemas.microsoft.com/office/drawing/2014/main" id="{5FB0317C-D97F-4870-ABB2-B768FEC9774E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6" name="$B$1">
            <a:extLst>
              <a:ext uri="{FF2B5EF4-FFF2-40B4-BE49-F238E27FC236}">
                <a16:creationId xmlns:a16="http://schemas.microsoft.com/office/drawing/2014/main" id="{715D6FE9-74CF-4A70-8C36-861756BCE053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7" name="$B$1">
            <a:extLst>
              <a:ext uri="{FF2B5EF4-FFF2-40B4-BE49-F238E27FC236}">
                <a16:creationId xmlns:a16="http://schemas.microsoft.com/office/drawing/2014/main" id="{5DA1914B-9B91-46C4-ABA4-4E2C250D6C00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8" name="$B$1">
            <a:extLst>
              <a:ext uri="{FF2B5EF4-FFF2-40B4-BE49-F238E27FC236}">
                <a16:creationId xmlns:a16="http://schemas.microsoft.com/office/drawing/2014/main" id="{C22C93D5-457A-46DF-A2EE-879D709F7102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79" name="$B$1">
            <a:extLst>
              <a:ext uri="{FF2B5EF4-FFF2-40B4-BE49-F238E27FC236}">
                <a16:creationId xmlns:a16="http://schemas.microsoft.com/office/drawing/2014/main" id="{727E84D3-7B1E-4425-933F-105CA1A4EA0D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0" name="$B$1">
            <a:extLst>
              <a:ext uri="{FF2B5EF4-FFF2-40B4-BE49-F238E27FC236}">
                <a16:creationId xmlns:a16="http://schemas.microsoft.com/office/drawing/2014/main" id="{BAE8DB92-6325-443F-BCDE-00116232E346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1" name="$B$1">
            <a:extLst>
              <a:ext uri="{FF2B5EF4-FFF2-40B4-BE49-F238E27FC236}">
                <a16:creationId xmlns:a16="http://schemas.microsoft.com/office/drawing/2014/main" id="{4306428E-C368-4F62-A4CA-11FE3DF9F334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2" name="$B$1">
            <a:extLst>
              <a:ext uri="{FF2B5EF4-FFF2-40B4-BE49-F238E27FC236}">
                <a16:creationId xmlns:a16="http://schemas.microsoft.com/office/drawing/2014/main" id="{30CD1FAE-57AA-4E06-876C-51725BCB7097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3" name="$B$1">
            <a:extLst>
              <a:ext uri="{FF2B5EF4-FFF2-40B4-BE49-F238E27FC236}">
                <a16:creationId xmlns:a16="http://schemas.microsoft.com/office/drawing/2014/main" id="{FB106E63-8870-4059-99BC-D183E4128C03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4" name="$B$1">
            <a:extLst>
              <a:ext uri="{FF2B5EF4-FFF2-40B4-BE49-F238E27FC236}">
                <a16:creationId xmlns:a16="http://schemas.microsoft.com/office/drawing/2014/main" id="{376E64EF-9529-4366-B6D3-B948A6B715A2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5" name="$B$1">
            <a:extLst>
              <a:ext uri="{FF2B5EF4-FFF2-40B4-BE49-F238E27FC236}">
                <a16:creationId xmlns:a16="http://schemas.microsoft.com/office/drawing/2014/main" id="{BDA9A2AF-A714-4775-A216-44469BD5F00C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6" name="$B$1">
            <a:extLst>
              <a:ext uri="{FF2B5EF4-FFF2-40B4-BE49-F238E27FC236}">
                <a16:creationId xmlns:a16="http://schemas.microsoft.com/office/drawing/2014/main" id="{2A872042-AEE1-4628-8570-B1E023231A49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7" name="$B$1">
            <a:extLst>
              <a:ext uri="{FF2B5EF4-FFF2-40B4-BE49-F238E27FC236}">
                <a16:creationId xmlns:a16="http://schemas.microsoft.com/office/drawing/2014/main" id="{95EC85A9-2766-42DF-A1C6-B17A7FE05F67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8" name="$B$1">
            <a:extLst>
              <a:ext uri="{FF2B5EF4-FFF2-40B4-BE49-F238E27FC236}">
                <a16:creationId xmlns:a16="http://schemas.microsoft.com/office/drawing/2014/main" id="{0872186E-A3A7-4F44-9A52-33B4ADF83CBC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89" name="$B$1">
            <a:extLst>
              <a:ext uri="{FF2B5EF4-FFF2-40B4-BE49-F238E27FC236}">
                <a16:creationId xmlns:a16="http://schemas.microsoft.com/office/drawing/2014/main" id="{9BAF0EFF-4756-4C64-A88F-F03B5D362547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0" name="$B$1">
            <a:extLst>
              <a:ext uri="{FF2B5EF4-FFF2-40B4-BE49-F238E27FC236}">
                <a16:creationId xmlns:a16="http://schemas.microsoft.com/office/drawing/2014/main" id="{9C70DB8B-7A04-4D7D-989C-00DF1D31F070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1" name="$B$1">
            <a:extLst>
              <a:ext uri="{FF2B5EF4-FFF2-40B4-BE49-F238E27FC236}">
                <a16:creationId xmlns:a16="http://schemas.microsoft.com/office/drawing/2014/main" id="{305AA186-CD5B-46BD-B951-143E08021F81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2" name="$B$1">
            <a:extLst>
              <a:ext uri="{FF2B5EF4-FFF2-40B4-BE49-F238E27FC236}">
                <a16:creationId xmlns:a16="http://schemas.microsoft.com/office/drawing/2014/main" id="{202D7726-1C5C-4915-A5D4-33B503E14CCD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3" name="$B$1">
            <a:extLst>
              <a:ext uri="{FF2B5EF4-FFF2-40B4-BE49-F238E27FC236}">
                <a16:creationId xmlns:a16="http://schemas.microsoft.com/office/drawing/2014/main" id="{DE65266F-7122-4FB7-9CEE-8F036C94B55F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4" name="$B$1">
            <a:extLst>
              <a:ext uri="{FF2B5EF4-FFF2-40B4-BE49-F238E27FC236}">
                <a16:creationId xmlns:a16="http://schemas.microsoft.com/office/drawing/2014/main" id="{6261C405-4CF9-46C3-BDBA-50C3ED459E51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5" name="$B$1">
            <a:extLst>
              <a:ext uri="{FF2B5EF4-FFF2-40B4-BE49-F238E27FC236}">
                <a16:creationId xmlns:a16="http://schemas.microsoft.com/office/drawing/2014/main" id="{44D1454B-E768-4ACA-81BD-C5C0F749C5E8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6" name="$B$1">
            <a:extLst>
              <a:ext uri="{FF2B5EF4-FFF2-40B4-BE49-F238E27FC236}">
                <a16:creationId xmlns:a16="http://schemas.microsoft.com/office/drawing/2014/main" id="{C9343498-BC1F-49B9-B912-B070F51CE73C}"/>
              </a:ext>
            </a:extLst>
          </xdr:cNvPr>
          <xdr:cNvSpPr/>
        </xdr:nvSpPr>
        <xdr:spPr>
          <a:xfrm>
            <a:off x="482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7" name="$B$1">
            <a:extLst>
              <a:ext uri="{FF2B5EF4-FFF2-40B4-BE49-F238E27FC236}">
                <a16:creationId xmlns:a16="http://schemas.microsoft.com/office/drawing/2014/main" id="{7FA44117-7D1B-47C7-A273-7FD6712F277C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8" name="$B$1">
            <a:extLst>
              <a:ext uri="{FF2B5EF4-FFF2-40B4-BE49-F238E27FC236}">
                <a16:creationId xmlns:a16="http://schemas.microsoft.com/office/drawing/2014/main" id="{78DEC43A-7C6C-40A4-A60D-3284F83E1C3D}"/>
              </a:ext>
            </a:extLst>
          </xdr:cNvPr>
          <xdr:cNvSpPr/>
        </xdr:nvSpPr>
        <xdr:spPr>
          <a:xfrm>
            <a:off x="596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99" name="$B$1">
            <a:extLst>
              <a:ext uri="{FF2B5EF4-FFF2-40B4-BE49-F238E27FC236}">
                <a16:creationId xmlns:a16="http://schemas.microsoft.com/office/drawing/2014/main" id="{C7915A59-7893-4248-AA84-3C16B098BF7F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0" name="$B$1">
            <a:extLst>
              <a:ext uri="{FF2B5EF4-FFF2-40B4-BE49-F238E27FC236}">
                <a16:creationId xmlns:a16="http://schemas.microsoft.com/office/drawing/2014/main" id="{9EEB932A-F9B4-423F-BCC0-EB98C5DB7247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1" name="$B$1">
            <a:extLst>
              <a:ext uri="{FF2B5EF4-FFF2-40B4-BE49-F238E27FC236}">
                <a16:creationId xmlns:a16="http://schemas.microsoft.com/office/drawing/2014/main" id="{4763B635-BBFA-4E65-941D-05067A553C3A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2" name="$B$1">
            <a:extLst>
              <a:ext uri="{FF2B5EF4-FFF2-40B4-BE49-F238E27FC236}">
                <a16:creationId xmlns:a16="http://schemas.microsoft.com/office/drawing/2014/main" id="{48967DE8-8F12-46C2-BAE5-BD8750C1CD69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3" name="$B$1">
            <a:extLst>
              <a:ext uri="{FF2B5EF4-FFF2-40B4-BE49-F238E27FC236}">
                <a16:creationId xmlns:a16="http://schemas.microsoft.com/office/drawing/2014/main" id="{76F6F415-DF75-4D80-86F6-6B4A9FA7FB90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4" name="$B$1">
            <a:extLst>
              <a:ext uri="{FF2B5EF4-FFF2-40B4-BE49-F238E27FC236}">
                <a16:creationId xmlns:a16="http://schemas.microsoft.com/office/drawing/2014/main" id="{CB2D7FE4-1EF7-4F0D-9E7E-8BAB938345B1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5" name="$B$1">
            <a:extLst>
              <a:ext uri="{FF2B5EF4-FFF2-40B4-BE49-F238E27FC236}">
                <a16:creationId xmlns:a16="http://schemas.microsoft.com/office/drawing/2014/main" id="{970F20CD-BC7E-4660-A867-CC808E7FA0F5}"/>
              </a:ext>
            </a:extLst>
          </xdr:cNvPr>
          <xdr:cNvSpPr/>
        </xdr:nvSpPr>
        <xdr:spPr>
          <a:xfrm>
            <a:off x="711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6" name="$B$1">
            <a:extLst>
              <a:ext uri="{FF2B5EF4-FFF2-40B4-BE49-F238E27FC236}">
                <a16:creationId xmlns:a16="http://schemas.microsoft.com/office/drawing/2014/main" id="{9550ECA9-EAC3-45B8-899F-911671722F65}"/>
              </a:ext>
            </a:extLst>
          </xdr:cNvPr>
          <xdr:cNvSpPr/>
        </xdr:nvSpPr>
        <xdr:spPr>
          <a:xfrm>
            <a:off x="736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7" name="$B$1">
            <a:extLst>
              <a:ext uri="{FF2B5EF4-FFF2-40B4-BE49-F238E27FC236}">
                <a16:creationId xmlns:a16="http://schemas.microsoft.com/office/drawing/2014/main" id="{A597213E-C35F-4778-B7AE-B95F44F420B0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8" name="$B$1">
            <a:extLst>
              <a:ext uri="{FF2B5EF4-FFF2-40B4-BE49-F238E27FC236}">
                <a16:creationId xmlns:a16="http://schemas.microsoft.com/office/drawing/2014/main" id="{45912611-87F1-4053-B3AC-9D8BC5EBA959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09" name="$B$1">
            <a:extLst>
              <a:ext uri="{FF2B5EF4-FFF2-40B4-BE49-F238E27FC236}">
                <a16:creationId xmlns:a16="http://schemas.microsoft.com/office/drawing/2014/main" id="{006763B0-12EF-4850-B81D-10740596A667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0" name="$B$1">
            <a:extLst>
              <a:ext uri="{FF2B5EF4-FFF2-40B4-BE49-F238E27FC236}">
                <a16:creationId xmlns:a16="http://schemas.microsoft.com/office/drawing/2014/main" id="{13ED4A17-CEE6-4DB8-B08B-1005238908F6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1" name="$B$1">
            <a:extLst>
              <a:ext uri="{FF2B5EF4-FFF2-40B4-BE49-F238E27FC236}">
                <a16:creationId xmlns:a16="http://schemas.microsoft.com/office/drawing/2014/main" id="{5EE20B2A-CB65-45F8-9004-4DC1C390CCDD}"/>
              </a:ext>
            </a:extLst>
          </xdr:cNvPr>
          <xdr:cNvSpPr/>
        </xdr:nvSpPr>
        <xdr:spPr>
          <a:xfrm>
            <a:off x="812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2" name="$B$1">
            <a:extLst>
              <a:ext uri="{FF2B5EF4-FFF2-40B4-BE49-F238E27FC236}">
                <a16:creationId xmlns:a16="http://schemas.microsoft.com/office/drawing/2014/main" id="{2C608CFE-AD7B-4E14-A1E8-7A9EB2DCEFF5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3" name="$B$1">
            <a:extLst>
              <a:ext uri="{FF2B5EF4-FFF2-40B4-BE49-F238E27FC236}">
                <a16:creationId xmlns:a16="http://schemas.microsoft.com/office/drawing/2014/main" id="{1503E801-C14E-4F50-90F7-F162A69531E8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4" name="$B$1">
            <a:extLst>
              <a:ext uri="{FF2B5EF4-FFF2-40B4-BE49-F238E27FC236}">
                <a16:creationId xmlns:a16="http://schemas.microsoft.com/office/drawing/2014/main" id="{587E7281-9946-41DD-93B5-B30A1631F88D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5" name="$B$1">
            <a:extLst>
              <a:ext uri="{FF2B5EF4-FFF2-40B4-BE49-F238E27FC236}">
                <a16:creationId xmlns:a16="http://schemas.microsoft.com/office/drawing/2014/main" id="{9F87F636-46E0-42E4-80A2-66D6E4563B03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6" name="$B$1">
            <a:extLst>
              <a:ext uri="{FF2B5EF4-FFF2-40B4-BE49-F238E27FC236}">
                <a16:creationId xmlns:a16="http://schemas.microsoft.com/office/drawing/2014/main" id="{71B72EB1-806E-4152-8878-A60AF729806B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7" name="$B$1">
            <a:extLst>
              <a:ext uri="{FF2B5EF4-FFF2-40B4-BE49-F238E27FC236}">
                <a16:creationId xmlns:a16="http://schemas.microsoft.com/office/drawing/2014/main" id="{875076B2-C65B-46B7-B393-E5396F50C4CD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8" name="$B$1">
            <a:extLst>
              <a:ext uri="{FF2B5EF4-FFF2-40B4-BE49-F238E27FC236}">
                <a16:creationId xmlns:a16="http://schemas.microsoft.com/office/drawing/2014/main" id="{5EA8C8DC-4F4D-4FF1-B75D-33D1EA06B07C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19" name="$B$1">
            <a:extLst>
              <a:ext uri="{FF2B5EF4-FFF2-40B4-BE49-F238E27FC236}">
                <a16:creationId xmlns:a16="http://schemas.microsoft.com/office/drawing/2014/main" id="{6FE17FC0-DE9A-4097-8396-99ED6637EC5E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0" name="$B$1">
            <a:extLst>
              <a:ext uri="{FF2B5EF4-FFF2-40B4-BE49-F238E27FC236}">
                <a16:creationId xmlns:a16="http://schemas.microsoft.com/office/drawing/2014/main" id="{73C5A57F-5A7F-4E5E-BB63-D0D18DB18B3A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1" name="$B$1">
            <a:extLst>
              <a:ext uri="{FF2B5EF4-FFF2-40B4-BE49-F238E27FC236}">
                <a16:creationId xmlns:a16="http://schemas.microsoft.com/office/drawing/2014/main" id="{396C9DA7-7543-4A73-887B-3BC3BD64976E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2" name="$B$1">
            <a:extLst>
              <a:ext uri="{FF2B5EF4-FFF2-40B4-BE49-F238E27FC236}">
                <a16:creationId xmlns:a16="http://schemas.microsoft.com/office/drawing/2014/main" id="{3D34F656-8985-4946-A499-55A1EC75FF77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3" name="$B$1">
            <a:extLst>
              <a:ext uri="{FF2B5EF4-FFF2-40B4-BE49-F238E27FC236}">
                <a16:creationId xmlns:a16="http://schemas.microsoft.com/office/drawing/2014/main" id="{2B7FCEA6-D57E-46FD-857E-AA74BD169A6C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4" name="$B$1">
            <a:extLst>
              <a:ext uri="{FF2B5EF4-FFF2-40B4-BE49-F238E27FC236}">
                <a16:creationId xmlns:a16="http://schemas.microsoft.com/office/drawing/2014/main" id="{12EB0529-BABF-4B70-9CB4-73ECB7799E8F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5" name="$B$1">
            <a:extLst>
              <a:ext uri="{FF2B5EF4-FFF2-40B4-BE49-F238E27FC236}">
                <a16:creationId xmlns:a16="http://schemas.microsoft.com/office/drawing/2014/main" id="{315F4A4E-F96D-405B-8F4F-1FEE6A75C679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6" name="$B$1">
            <a:extLst>
              <a:ext uri="{FF2B5EF4-FFF2-40B4-BE49-F238E27FC236}">
                <a16:creationId xmlns:a16="http://schemas.microsoft.com/office/drawing/2014/main" id="{31EE93ED-C105-439A-8463-96D8ED7A4361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7" name="$B$1">
            <a:extLst>
              <a:ext uri="{FF2B5EF4-FFF2-40B4-BE49-F238E27FC236}">
                <a16:creationId xmlns:a16="http://schemas.microsoft.com/office/drawing/2014/main" id="{48A84210-BB85-473D-A897-5EADF4AB4118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8" name="$B$1">
            <a:extLst>
              <a:ext uri="{FF2B5EF4-FFF2-40B4-BE49-F238E27FC236}">
                <a16:creationId xmlns:a16="http://schemas.microsoft.com/office/drawing/2014/main" id="{EA061FFE-88DA-4BA9-99B7-6E9BDFFC45E6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29" name="$B$1">
            <a:extLst>
              <a:ext uri="{FF2B5EF4-FFF2-40B4-BE49-F238E27FC236}">
                <a16:creationId xmlns:a16="http://schemas.microsoft.com/office/drawing/2014/main" id="{63335C39-21B5-43CD-B2EC-4CC1FC6F35E6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0" name="$B$1">
            <a:extLst>
              <a:ext uri="{FF2B5EF4-FFF2-40B4-BE49-F238E27FC236}">
                <a16:creationId xmlns:a16="http://schemas.microsoft.com/office/drawing/2014/main" id="{8A0D9356-28DF-4710-8135-CBE71591DFA0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1" name="$B$1">
            <a:extLst>
              <a:ext uri="{FF2B5EF4-FFF2-40B4-BE49-F238E27FC236}">
                <a16:creationId xmlns:a16="http://schemas.microsoft.com/office/drawing/2014/main" id="{3EC03B9E-0C63-4DCA-A948-2331CB5F8E79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2" name="$B$1">
            <a:extLst>
              <a:ext uri="{FF2B5EF4-FFF2-40B4-BE49-F238E27FC236}">
                <a16:creationId xmlns:a16="http://schemas.microsoft.com/office/drawing/2014/main" id="{E3CF77FB-FF20-4214-9FC7-8C47008AB5FF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3" name="$B$1">
            <a:extLst>
              <a:ext uri="{FF2B5EF4-FFF2-40B4-BE49-F238E27FC236}">
                <a16:creationId xmlns:a16="http://schemas.microsoft.com/office/drawing/2014/main" id="{4FA2AD06-F233-4D5A-9FA8-BCEDB9C58BE4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4" name="$B$1">
            <a:extLst>
              <a:ext uri="{FF2B5EF4-FFF2-40B4-BE49-F238E27FC236}">
                <a16:creationId xmlns:a16="http://schemas.microsoft.com/office/drawing/2014/main" id="{52ED10AD-A118-491B-9CB3-50BBB797DDE0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5" name="$B$1">
            <a:extLst>
              <a:ext uri="{FF2B5EF4-FFF2-40B4-BE49-F238E27FC236}">
                <a16:creationId xmlns:a16="http://schemas.microsoft.com/office/drawing/2014/main" id="{29D84BD0-4C9C-41AF-9E81-AAC3DF2B9108}"/>
              </a:ext>
            </a:extLst>
          </xdr:cNvPr>
          <xdr:cNvSpPr/>
        </xdr:nvSpPr>
        <xdr:spPr>
          <a:xfrm>
            <a:off x="241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6" name="$B$1">
            <a:extLst>
              <a:ext uri="{FF2B5EF4-FFF2-40B4-BE49-F238E27FC236}">
                <a16:creationId xmlns:a16="http://schemas.microsoft.com/office/drawing/2014/main" id="{E47E2C62-BB68-49D0-9CDF-3C39E65D36B5}"/>
              </a:ext>
            </a:extLst>
          </xdr:cNvPr>
          <xdr:cNvSpPr/>
        </xdr:nvSpPr>
        <xdr:spPr>
          <a:xfrm>
            <a:off x="266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7" name="$B$1">
            <a:extLst>
              <a:ext uri="{FF2B5EF4-FFF2-40B4-BE49-F238E27FC236}">
                <a16:creationId xmlns:a16="http://schemas.microsoft.com/office/drawing/2014/main" id="{B40B3B12-BCE6-403D-9091-FB0DDC1E8AE8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8" name="$B$1">
            <a:extLst>
              <a:ext uri="{FF2B5EF4-FFF2-40B4-BE49-F238E27FC236}">
                <a16:creationId xmlns:a16="http://schemas.microsoft.com/office/drawing/2014/main" id="{93BC8E38-3B4C-4B15-9867-AC40B20C333B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39" name="$B$1">
            <a:extLst>
              <a:ext uri="{FF2B5EF4-FFF2-40B4-BE49-F238E27FC236}">
                <a16:creationId xmlns:a16="http://schemas.microsoft.com/office/drawing/2014/main" id="{61D28299-BE90-4F36-B781-154ED6B42E93}"/>
              </a:ext>
            </a:extLst>
          </xdr:cNvPr>
          <xdr:cNvSpPr/>
        </xdr:nvSpPr>
        <xdr:spPr>
          <a:xfrm>
            <a:off x="330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0" name="$B$1">
            <a:extLst>
              <a:ext uri="{FF2B5EF4-FFF2-40B4-BE49-F238E27FC236}">
                <a16:creationId xmlns:a16="http://schemas.microsoft.com/office/drawing/2014/main" id="{6CFA8A8B-0B1B-4B6A-8A36-C4815AD0EEB5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1" name="$B$1">
            <a:extLst>
              <a:ext uri="{FF2B5EF4-FFF2-40B4-BE49-F238E27FC236}">
                <a16:creationId xmlns:a16="http://schemas.microsoft.com/office/drawing/2014/main" id="{D7B4A4C7-6FA4-4B90-8827-5F81B611A230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2" name="$B$1">
            <a:extLst>
              <a:ext uri="{FF2B5EF4-FFF2-40B4-BE49-F238E27FC236}">
                <a16:creationId xmlns:a16="http://schemas.microsoft.com/office/drawing/2014/main" id="{93F536EC-C9FD-40CA-AEB6-66633BB9149A}"/>
              </a:ext>
            </a:extLst>
          </xdr:cNvPr>
          <xdr:cNvSpPr/>
        </xdr:nvSpPr>
        <xdr:spPr>
          <a:xfrm>
            <a:off x="393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3" name="$B$1">
            <a:extLst>
              <a:ext uri="{FF2B5EF4-FFF2-40B4-BE49-F238E27FC236}">
                <a16:creationId xmlns:a16="http://schemas.microsoft.com/office/drawing/2014/main" id="{30C12D1F-AE1C-47E6-B953-04F3A26CF33B}"/>
              </a:ext>
            </a:extLst>
          </xdr:cNvPr>
          <xdr:cNvSpPr/>
        </xdr:nvSpPr>
        <xdr:spPr>
          <a:xfrm>
            <a:off x="406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4" name="$B$1">
            <a:extLst>
              <a:ext uri="{FF2B5EF4-FFF2-40B4-BE49-F238E27FC236}">
                <a16:creationId xmlns:a16="http://schemas.microsoft.com/office/drawing/2014/main" id="{978E8A60-E6CA-4F8F-81BA-B7E82612A4A1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5" name="$B$1">
            <a:extLst>
              <a:ext uri="{FF2B5EF4-FFF2-40B4-BE49-F238E27FC236}">
                <a16:creationId xmlns:a16="http://schemas.microsoft.com/office/drawing/2014/main" id="{08537D10-429C-4C85-833E-3EED3F115A9C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6" name="$B$1">
            <a:extLst>
              <a:ext uri="{FF2B5EF4-FFF2-40B4-BE49-F238E27FC236}">
                <a16:creationId xmlns:a16="http://schemas.microsoft.com/office/drawing/2014/main" id="{7A7882FB-5AC0-492A-ADB2-B1E8078A600E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7" name="$B$1">
            <a:extLst>
              <a:ext uri="{FF2B5EF4-FFF2-40B4-BE49-F238E27FC236}">
                <a16:creationId xmlns:a16="http://schemas.microsoft.com/office/drawing/2014/main" id="{7A552504-EA5E-4823-B9D4-5AF8D8D1A546}"/>
              </a:ext>
            </a:extLst>
          </xdr:cNvPr>
          <xdr:cNvSpPr/>
        </xdr:nvSpPr>
        <xdr:spPr>
          <a:xfrm>
            <a:off x="635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8" name="$B$1">
            <a:extLst>
              <a:ext uri="{FF2B5EF4-FFF2-40B4-BE49-F238E27FC236}">
                <a16:creationId xmlns:a16="http://schemas.microsoft.com/office/drawing/2014/main" id="{78CAB684-8959-465F-831E-53DF249A8536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49" name="$B$1">
            <a:extLst>
              <a:ext uri="{FF2B5EF4-FFF2-40B4-BE49-F238E27FC236}">
                <a16:creationId xmlns:a16="http://schemas.microsoft.com/office/drawing/2014/main" id="{8B3940F0-F3FE-437A-83DE-5CBB7D28FADF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0" name="$B$1">
            <a:extLst>
              <a:ext uri="{FF2B5EF4-FFF2-40B4-BE49-F238E27FC236}">
                <a16:creationId xmlns:a16="http://schemas.microsoft.com/office/drawing/2014/main" id="{ED90EEBC-9277-4C27-9B1C-368B4BB256C2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1" name="$B$1">
            <a:extLst>
              <a:ext uri="{FF2B5EF4-FFF2-40B4-BE49-F238E27FC236}">
                <a16:creationId xmlns:a16="http://schemas.microsoft.com/office/drawing/2014/main" id="{746D91B5-5BD5-4812-B6A2-EA6655767F88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2" name="$B$1">
            <a:extLst>
              <a:ext uri="{FF2B5EF4-FFF2-40B4-BE49-F238E27FC236}">
                <a16:creationId xmlns:a16="http://schemas.microsoft.com/office/drawing/2014/main" id="{6ED09010-A9EC-4CFA-82DD-F42CB4063513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3" name="$B$1">
            <a:extLst>
              <a:ext uri="{FF2B5EF4-FFF2-40B4-BE49-F238E27FC236}">
                <a16:creationId xmlns:a16="http://schemas.microsoft.com/office/drawing/2014/main" id="{8A16516A-8C1E-4BA5-8854-7260D0A42C6C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4" name="$B$1">
            <a:extLst>
              <a:ext uri="{FF2B5EF4-FFF2-40B4-BE49-F238E27FC236}">
                <a16:creationId xmlns:a16="http://schemas.microsoft.com/office/drawing/2014/main" id="{9A63C088-EDF3-47F9-B205-ACF264833E6E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5" name="$B$1">
            <a:extLst>
              <a:ext uri="{FF2B5EF4-FFF2-40B4-BE49-F238E27FC236}">
                <a16:creationId xmlns:a16="http://schemas.microsoft.com/office/drawing/2014/main" id="{38BBE9CA-2E45-4EEE-BA3B-D25772AC54AD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6" name="$B$1">
            <a:extLst>
              <a:ext uri="{FF2B5EF4-FFF2-40B4-BE49-F238E27FC236}">
                <a16:creationId xmlns:a16="http://schemas.microsoft.com/office/drawing/2014/main" id="{E6D9596A-AFED-418C-86A3-14676189F798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7" name="$B$1">
            <a:extLst>
              <a:ext uri="{FF2B5EF4-FFF2-40B4-BE49-F238E27FC236}">
                <a16:creationId xmlns:a16="http://schemas.microsoft.com/office/drawing/2014/main" id="{7A848E23-0CCD-45F1-AC88-AC500FD1F7FB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8" name="$B$1">
            <a:extLst>
              <a:ext uri="{FF2B5EF4-FFF2-40B4-BE49-F238E27FC236}">
                <a16:creationId xmlns:a16="http://schemas.microsoft.com/office/drawing/2014/main" id="{9FBD1172-0962-467E-AD1E-A2F2145B0457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59" name="$B$1">
            <a:extLst>
              <a:ext uri="{FF2B5EF4-FFF2-40B4-BE49-F238E27FC236}">
                <a16:creationId xmlns:a16="http://schemas.microsoft.com/office/drawing/2014/main" id="{3AE9BD7E-49AA-4C43-9610-856365514192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0" name="$B$1">
            <a:extLst>
              <a:ext uri="{FF2B5EF4-FFF2-40B4-BE49-F238E27FC236}">
                <a16:creationId xmlns:a16="http://schemas.microsoft.com/office/drawing/2014/main" id="{8414878B-F99A-43AE-91BC-7BE5156B92EA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1" name="$B$1">
            <a:extLst>
              <a:ext uri="{FF2B5EF4-FFF2-40B4-BE49-F238E27FC236}">
                <a16:creationId xmlns:a16="http://schemas.microsoft.com/office/drawing/2014/main" id="{8BA7A6DB-F25E-4866-B194-4262BF60142C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2" name="$B$1">
            <a:extLst>
              <a:ext uri="{FF2B5EF4-FFF2-40B4-BE49-F238E27FC236}">
                <a16:creationId xmlns:a16="http://schemas.microsoft.com/office/drawing/2014/main" id="{F96D1397-05A7-4C94-AA1F-EFF6C3B80FDA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3" name="$B$1">
            <a:extLst>
              <a:ext uri="{FF2B5EF4-FFF2-40B4-BE49-F238E27FC236}">
                <a16:creationId xmlns:a16="http://schemas.microsoft.com/office/drawing/2014/main" id="{E5575EF0-21E3-4A67-A62F-66FDC1EEE3A3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4" name="$B$1">
            <a:extLst>
              <a:ext uri="{FF2B5EF4-FFF2-40B4-BE49-F238E27FC236}">
                <a16:creationId xmlns:a16="http://schemas.microsoft.com/office/drawing/2014/main" id="{A7AC6FA9-1522-46E0-9821-282D80DD2261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5" name="$B$1">
            <a:extLst>
              <a:ext uri="{FF2B5EF4-FFF2-40B4-BE49-F238E27FC236}">
                <a16:creationId xmlns:a16="http://schemas.microsoft.com/office/drawing/2014/main" id="{6290B106-7575-4632-9092-C65C0F84C640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6" name="$B$1">
            <a:extLst>
              <a:ext uri="{FF2B5EF4-FFF2-40B4-BE49-F238E27FC236}">
                <a16:creationId xmlns:a16="http://schemas.microsoft.com/office/drawing/2014/main" id="{70F99889-7ED0-4D6E-984C-462DA37D9F1B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7" name="$B$1">
            <a:extLst>
              <a:ext uri="{FF2B5EF4-FFF2-40B4-BE49-F238E27FC236}">
                <a16:creationId xmlns:a16="http://schemas.microsoft.com/office/drawing/2014/main" id="{0ECBD1B0-49D4-4B7C-8E4F-188821555ED2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8" name="$B$1">
            <a:extLst>
              <a:ext uri="{FF2B5EF4-FFF2-40B4-BE49-F238E27FC236}">
                <a16:creationId xmlns:a16="http://schemas.microsoft.com/office/drawing/2014/main" id="{70AFC6F1-5CE2-4E15-BBF1-FF0D0ED8808C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69" name="$B$1">
            <a:extLst>
              <a:ext uri="{FF2B5EF4-FFF2-40B4-BE49-F238E27FC236}">
                <a16:creationId xmlns:a16="http://schemas.microsoft.com/office/drawing/2014/main" id="{9A8E4E61-3A24-4A52-B98C-16EE792A34BD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0" name="$B$1">
            <a:extLst>
              <a:ext uri="{FF2B5EF4-FFF2-40B4-BE49-F238E27FC236}">
                <a16:creationId xmlns:a16="http://schemas.microsoft.com/office/drawing/2014/main" id="{C4CFA2C9-0433-4084-B4B2-70CB3091BAC8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1" name="$B$1">
            <a:extLst>
              <a:ext uri="{FF2B5EF4-FFF2-40B4-BE49-F238E27FC236}">
                <a16:creationId xmlns:a16="http://schemas.microsoft.com/office/drawing/2014/main" id="{1B6E34F2-027D-431F-8860-0F64BE923E66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2" name="$B$1">
            <a:extLst>
              <a:ext uri="{FF2B5EF4-FFF2-40B4-BE49-F238E27FC236}">
                <a16:creationId xmlns:a16="http://schemas.microsoft.com/office/drawing/2014/main" id="{83ACC93D-0AD1-42F0-A4F7-2AE3373AF391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3" name="$B$1">
            <a:extLst>
              <a:ext uri="{FF2B5EF4-FFF2-40B4-BE49-F238E27FC236}">
                <a16:creationId xmlns:a16="http://schemas.microsoft.com/office/drawing/2014/main" id="{7039D09E-BD51-45B5-9FEC-00C96B5AF2CB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4" name="$B$1">
            <a:extLst>
              <a:ext uri="{FF2B5EF4-FFF2-40B4-BE49-F238E27FC236}">
                <a16:creationId xmlns:a16="http://schemas.microsoft.com/office/drawing/2014/main" id="{077EC027-C851-4825-9403-6D32B3D44498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5" name="$B$1">
            <a:extLst>
              <a:ext uri="{FF2B5EF4-FFF2-40B4-BE49-F238E27FC236}">
                <a16:creationId xmlns:a16="http://schemas.microsoft.com/office/drawing/2014/main" id="{A3C38B86-DCB3-4F95-9317-1F13F73FA430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6" name="$B$1">
            <a:extLst>
              <a:ext uri="{FF2B5EF4-FFF2-40B4-BE49-F238E27FC236}">
                <a16:creationId xmlns:a16="http://schemas.microsoft.com/office/drawing/2014/main" id="{C80D194E-0047-4669-AA82-F63782CD40E2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7" name="$B$1">
            <a:extLst>
              <a:ext uri="{FF2B5EF4-FFF2-40B4-BE49-F238E27FC236}">
                <a16:creationId xmlns:a16="http://schemas.microsoft.com/office/drawing/2014/main" id="{E6996F70-061D-4755-8E6D-4869340EDC5D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8" name="$B$1">
            <a:extLst>
              <a:ext uri="{FF2B5EF4-FFF2-40B4-BE49-F238E27FC236}">
                <a16:creationId xmlns:a16="http://schemas.microsoft.com/office/drawing/2014/main" id="{7D77989F-A1E5-46FF-9317-D4E638AB7BDD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79" name="$B$1">
            <a:extLst>
              <a:ext uri="{FF2B5EF4-FFF2-40B4-BE49-F238E27FC236}">
                <a16:creationId xmlns:a16="http://schemas.microsoft.com/office/drawing/2014/main" id="{B9DDBA47-F774-4D03-B866-AE3995184AD3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0" name="$B$1">
            <a:extLst>
              <a:ext uri="{FF2B5EF4-FFF2-40B4-BE49-F238E27FC236}">
                <a16:creationId xmlns:a16="http://schemas.microsoft.com/office/drawing/2014/main" id="{824153D2-E87E-44E7-A70D-24C5B7996604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1" name="$B$1">
            <a:extLst>
              <a:ext uri="{FF2B5EF4-FFF2-40B4-BE49-F238E27FC236}">
                <a16:creationId xmlns:a16="http://schemas.microsoft.com/office/drawing/2014/main" id="{C8D4F833-93BF-4585-931E-DD08EF2BA009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2" name="$B$1">
            <a:extLst>
              <a:ext uri="{FF2B5EF4-FFF2-40B4-BE49-F238E27FC236}">
                <a16:creationId xmlns:a16="http://schemas.microsoft.com/office/drawing/2014/main" id="{F8F0FF53-0F55-45A8-A8E8-5A5257C895D0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3" name="$B$1">
            <a:extLst>
              <a:ext uri="{FF2B5EF4-FFF2-40B4-BE49-F238E27FC236}">
                <a16:creationId xmlns:a16="http://schemas.microsoft.com/office/drawing/2014/main" id="{C690527B-D0E3-47D6-BCD2-1532CA94F1F7}"/>
              </a:ext>
            </a:extLst>
          </xdr:cNvPr>
          <xdr:cNvSpPr/>
        </xdr:nvSpPr>
        <xdr:spPr>
          <a:xfrm>
            <a:off x="304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4" name="$B$1">
            <a:extLst>
              <a:ext uri="{FF2B5EF4-FFF2-40B4-BE49-F238E27FC236}">
                <a16:creationId xmlns:a16="http://schemas.microsoft.com/office/drawing/2014/main" id="{EEE7EF30-28E6-411B-8C8B-E09C6C85DBAF}"/>
              </a:ext>
            </a:extLst>
          </xdr:cNvPr>
          <xdr:cNvSpPr/>
        </xdr:nvSpPr>
        <xdr:spPr>
          <a:xfrm>
            <a:off x="342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5" name="$B$1">
            <a:extLst>
              <a:ext uri="{FF2B5EF4-FFF2-40B4-BE49-F238E27FC236}">
                <a16:creationId xmlns:a16="http://schemas.microsoft.com/office/drawing/2014/main" id="{BC7292B0-26BE-434C-A0E1-B266F387010C}"/>
              </a:ext>
            </a:extLst>
          </xdr:cNvPr>
          <xdr:cNvSpPr/>
        </xdr:nvSpPr>
        <xdr:spPr>
          <a:xfrm>
            <a:off x="368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6" name="$B$1">
            <a:extLst>
              <a:ext uri="{FF2B5EF4-FFF2-40B4-BE49-F238E27FC236}">
                <a16:creationId xmlns:a16="http://schemas.microsoft.com/office/drawing/2014/main" id="{3C7B2915-FC96-45F9-B5A5-80B388FA8E6E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7" name="$B$1">
            <a:extLst>
              <a:ext uri="{FF2B5EF4-FFF2-40B4-BE49-F238E27FC236}">
                <a16:creationId xmlns:a16="http://schemas.microsoft.com/office/drawing/2014/main" id="{95A930F0-BCA8-4960-9E10-2D0F6555A0AB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8" name="$B$1">
            <a:extLst>
              <a:ext uri="{FF2B5EF4-FFF2-40B4-BE49-F238E27FC236}">
                <a16:creationId xmlns:a16="http://schemas.microsoft.com/office/drawing/2014/main" id="{8031E49C-18BD-4A4F-9820-76BFED51E84F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89" name="$B$1">
            <a:extLst>
              <a:ext uri="{FF2B5EF4-FFF2-40B4-BE49-F238E27FC236}">
                <a16:creationId xmlns:a16="http://schemas.microsoft.com/office/drawing/2014/main" id="{E983F4BB-BF72-4B33-A0FC-901978048184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0" name="$B$1">
            <a:extLst>
              <a:ext uri="{FF2B5EF4-FFF2-40B4-BE49-F238E27FC236}">
                <a16:creationId xmlns:a16="http://schemas.microsoft.com/office/drawing/2014/main" id="{7F75D121-1073-4BC0-B59F-3E8CF37F9963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1" name="$B$1">
            <a:extLst>
              <a:ext uri="{FF2B5EF4-FFF2-40B4-BE49-F238E27FC236}">
                <a16:creationId xmlns:a16="http://schemas.microsoft.com/office/drawing/2014/main" id="{3819FEE4-1235-42EA-81D2-AE877C8DE913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2" name="$B$1">
            <a:extLst>
              <a:ext uri="{FF2B5EF4-FFF2-40B4-BE49-F238E27FC236}">
                <a16:creationId xmlns:a16="http://schemas.microsoft.com/office/drawing/2014/main" id="{4DB90426-94D8-4D1F-A6A3-E96290D543E2}"/>
              </a:ext>
            </a:extLst>
          </xdr:cNvPr>
          <xdr:cNvSpPr/>
        </xdr:nvSpPr>
        <xdr:spPr>
          <a:xfrm>
            <a:off x="571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3" name="$B$1">
            <a:extLst>
              <a:ext uri="{FF2B5EF4-FFF2-40B4-BE49-F238E27FC236}">
                <a16:creationId xmlns:a16="http://schemas.microsoft.com/office/drawing/2014/main" id="{9CC37683-9A25-44C7-ACCD-D9FF08C3B3D6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4" name="$B$1">
            <a:extLst>
              <a:ext uri="{FF2B5EF4-FFF2-40B4-BE49-F238E27FC236}">
                <a16:creationId xmlns:a16="http://schemas.microsoft.com/office/drawing/2014/main" id="{0A0A612A-6EC4-46BC-8D0E-6B0274310899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5" name="$B$1">
            <a:extLst>
              <a:ext uri="{FF2B5EF4-FFF2-40B4-BE49-F238E27FC236}">
                <a16:creationId xmlns:a16="http://schemas.microsoft.com/office/drawing/2014/main" id="{CECC6F76-8939-4491-B223-E7039239C0C7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6" name="$B$1">
            <a:extLst>
              <a:ext uri="{FF2B5EF4-FFF2-40B4-BE49-F238E27FC236}">
                <a16:creationId xmlns:a16="http://schemas.microsoft.com/office/drawing/2014/main" id="{E928D497-A954-484A-A595-B2C298D54233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7" name="$B$1">
            <a:extLst>
              <a:ext uri="{FF2B5EF4-FFF2-40B4-BE49-F238E27FC236}">
                <a16:creationId xmlns:a16="http://schemas.microsoft.com/office/drawing/2014/main" id="{9D44AC8E-BF61-4DD1-976C-136B4DDCC47C}"/>
              </a:ext>
            </a:extLst>
          </xdr:cNvPr>
          <xdr:cNvSpPr/>
        </xdr:nvSpPr>
        <xdr:spPr>
          <a:xfrm>
            <a:off x="685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8" name="$B$1">
            <a:extLst>
              <a:ext uri="{FF2B5EF4-FFF2-40B4-BE49-F238E27FC236}">
                <a16:creationId xmlns:a16="http://schemas.microsoft.com/office/drawing/2014/main" id="{222C77C0-12EB-4D58-ADB1-2BCFE4EED03B}"/>
              </a:ext>
            </a:extLst>
          </xdr:cNvPr>
          <xdr:cNvSpPr/>
        </xdr:nvSpPr>
        <xdr:spPr>
          <a:xfrm>
            <a:off x="711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99" name="$B$1">
            <a:extLst>
              <a:ext uri="{FF2B5EF4-FFF2-40B4-BE49-F238E27FC236}">
                <a16:creationId xmlns:a16="http://schemas.microsoft.com/office/drawing/2014/main" id="{BDCFE33B-2A10-4A84-A9D0-8D82AF55CBA8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0" name="$B$1">
            <a:extLst>
              <a:ext uri="{FF2B5EF4-FFF2-40B4-BE49-F238E27FC236}">
                <a16:creationId xmlns:a16="http://schemas.microsoft.com/office/drawing/2014/main" id="{3E81D4D2-77FF-47A9-8EC8-6A6B0FC267BD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1" name="$B$1">
            <a:extLst>
              <a:ext uri="{FF2B5EF4-FFF2-40B4-BE49-F238E27FC236}">
                <a16:creationId xmlns:a16="http://schemas.microsoft.com/office/drawing/2014/main" id="{4AE011F0-E74B-400E-BEEA-EFDF6AB449EA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2" name="$B$1">
            <a:extLst>
              <a:ext uri="{FF2B5EF4-FFF2-40B4-BE49-F238E27FC236}">
                <a16:creationId xmlns:a16="http://schemas.microsoft.com/office/drawing/2014/main" id="{CB9AC999-35A3-4FD3-BFC4-F16FEB3DFBE9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3" name="$B$1">
            <a:extLst>
              <a:ext uri="{FF2B5EF4-FFF2-40B4-BE49-F238E27FC236}">
                <a16:creationId xmlns:a16="http://schemas.microsoft.com/office/drawing/2014/main" id="{FF8B920F-C226-4F5B-94A3-F7C58F225C40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4" name="$B$1">
            <a:extLst>
              <a:ext uri="{FF2B5EF4-FFF2-40B4-BE49-F238E27FC236}">
                <a16:creationId xmlns:a16="http://schemas.microsoft.com/office/drawing/2014/main" id="{7AA73839-B980-4FF0-A6C2-15D3D07B1C62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5" name="$B$1">
            <a:extLst>
              <a:ext uri="{FF2B5EF4-FFF2-40B4-BE49-F238E27FC236}">
                <a16:creationId xmlns:a16="http://schemas.microsoft.com/office/drawing/2014/main" id="{C0850B98-C14F-452C-B5FD-AD843E632170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6" name="$B$1">
            <a:extLst>
              <a:ext uri="{FF2B5EF4-FFF2-40B4-BE49-F238E27FC236}">
                <a16:creationId xmlns:a16="http://schemas.microsoft.com/office/drawing/2014/main" id="{789D78D4-5A9F-4594-9941-7FF44AB5E368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7" name="$B$1">
            <a:extLst>
              <a:ext uri="{FF2B5EF4-FFF2-40B4-BE49-F238E27FC236}">
                <a16:creationId xmlns:a16="http://schemas.microsoft.com/office/drawing/2014/main" id="{8BE681CF-E7FC-49F9-B7B8-FE173A4D2242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8" name="$B$1">
            <a:extLst>
              <a:ext uri="{FF2B5EF4-FFF2-40B4-BE49-F238E27FC236}">
                <a16:creationId xmlns:a16="http://schemas.microsoft.com/office/drawing/2014/main" id="{26CA873A-9461-464D-8749-6270BE87FA75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09" name="$B$1">
            <a:extLst>
              <a:ext uri="{FF2B5EF4-FFF2-40B4-BE49-F238E27FC236}">
                <a16:creationId xmlns:a16="http://schemas.microsoft.com/office/drawing/2014/main" id="{193DF1DF-315E-43B4-B076-D5C1CD1293F9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0" name="$B$1">
            <a:extLst>
              <a:ext uri="{FF2B5EF4-FFF2-40B4-BE49-F238E27FC236}">
                <a16:creationId xmlns:a16="http://schemas.microsoft.com/office/drawing/2014/main" id="{B7537E27-2BC9-45AE-99E1-B70915F92FEF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1" name="$B$1">
            <a:extLst>
              <a:ext uri="{FF2B5EF4-FFF2-40B4-BE49-F238E27FC236}">
                <a16:creationId xmlns:a16="http://schemas.microsoft.com/office/drawing/2014/main" id="{B1917E82-41AA-4850-99AA-24C52BECAD61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2" name="$B$1">
            <a:extLst>
              <a:ext uri="{FF2B5EF4-FFF2-40B4-BE49-F238E27FC236}">
                <a16:creationId xmlns:a16="http://schemas.microsoft.com/office/drawing/2014/main" id="{DA4066B1-B1F0-49BB-88E9-E3C565E5BB74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3" name="$B$1">
            <a:extLst>
              <a:ext uri="{FF2B5EF4-FFF2-40B4-BE49-F238E27FC236}">
                <a16:creationId xmlns:a16="http://schemas.microsoft.com/office/drawing/2014/main" id="{5A1C7FA2-0555-46E1-82A4-300554B23AF7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4" name="$B$1">
            <a:extLst>
              <a:ext uri="{FF2B5EF4-FFF2-40B4-BE49-F238E27FC236}">
                <a16:creationId xmlns:a16="http://schemas.microsoft.com/office/drawing/2014/main" id="{C0B0562F-570B-4BFE-9AA3-DD17983BA501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5" name="$B$1">
            <a:extLst>
              <a:ext uri="{FF2B5EF4-FFF2-40B4-BE49-F238E27FC236}">
                <a16:creationId xmlns:a16="http://schemas.microsoft.com/office/drawing/2014/main" id="{44726043-DE5C-4B58-976C-B950BE6011F3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6" name="$B$1">
            <a:extLst>
              <a:ext uri="{FF2B5EF4-FFF2-40B4-BE49-F238E27FC236}">
                <a16:creationId xmlns:a16="http://schemas.microsoft.com/office/drawing/2014/main" id="{14523279-44A4-4FDD-90BD-2E5823680739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7" name="$B$1">
            <a:extLst>
              <a:ext uri="{FF2B5EF4-FFF2-40B4-BE49-F238E27FC236}">
                <a16:creationId xmlns:a16="http://schemas.microsoft.com/office/drawing/2014/main" id="{F70D9E93-B8D0-429F-B336-F9CADB01FB86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8" name="$B$1">
            <a:extLst>
              <a:ext uri="{FF2B5EF4-FFF2-40B4-BE49-F238E27FC236}">
                <a16:creationId xmlns:a16="http://schemas.microsoft.com/office/drawing/2014/main" id="{BB04EDEF-0715-4ABF-8086-CC4E26A1FF8B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19" name="$B$1">
            <a:extLst>
              <a:ext uri="{FF2B5EF4-FFF2-40B4-BE49-F238E27FC236}">
                <a16:creationId xmlns:a16="http://schemas.microsoft.com/office/drawing/2014/main" id="{1495BFF1-24F2-4A70-BB8E-9A9A650EF663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0" name="$B$1">
            <a:extLst>
              <a:ext uri="{FF2B5EF4-FFF2-40B4-BE49-F238E27FC236}">
                <a16:creationId xmlns:a16="http://schemas.microsoft.com/office/drawing/2014/main" id="{B846A6C4-50FE-4AAC-88BA-1E25B12931E9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1" name="$B$1">
            <a:extLst>
              <a:ext uri="{FF2B5EF4-FFF2-40B4-BE49-F238E27FC236}">
                <a16:creationId xmlns:a16="http://schemas.microsoft.com/office/drawing/2014/main" id="{E6EFF06F-0F43-417A-9CAC-173E920A5EFD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2" name="$B$1">
            <a:extLst>
              <a:ext uri="{FF2B5EF4-FFF2-40B4-BE49-F238E27FC236}">
                <a16:creationId xmlns:a16="http://schemas.microsoft.com/office/drawing/2014/main" id="{D583CC9D-7B32-4D35-9B35-A1765B360B7B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3" name="$B$1">
            <a:extLst>
              <a:ext uri="{FF2B5EF4-FFF2-40B4-BE49-F238E27FC236}">
                <a16:creationId xmlns:a16="http://schemas.microsoft.com/office/drawing/2014/main" id="{0EE89B07-A055-439D-8AF4-DA9318E9813B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4" name="$B$1">
            <a:extLst>
              <a:ext uri="{FF2B5EF4-FFF2-40B4-BE49-F238E27FC236}">
                <a16:creationId xmlns:a16="http://schemas.microsoft.com/office/drawing/2014/main" id="{3494ABAE-9A5F-480F-8157-A31CA633E8E1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5" name="$B$1">
            <a:extLst>
              <a:ext uri="{FF2B5EF4-FFF2-40B4-BE49-F238E27FC236}">
                <a16:creationId xmlns:a16="http://schemas.microsoft.com/office/drawing/2014/main" id="{54639654-4B8A-4C15-8A9C-60527C21704C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6" name="$B$1">
            <a:extLst>
              <a:ext uri="{FF2B5EF4-FFF2-40B4-BE49-F238E27FC236}">
                <a16:creationId xmlns:a16="http://schemas.microsoft.com/office/drawing/2014/main" id="{B61E1F18-F7D0-430F-8C8A-06448178E591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7" name="$B$1">
            <a:extLst>
              <a:ext uri="{FF2B5EF4-FFF2-40B4-BE49-F238E27FC236}">
                <a16:creationId xmlns:a16="http://schemas.microsoft.com/office/drawing/2014/main" id="{F7F8F243-2029-4EB0-8D4E-859293A2AEE9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8" name="$B$1">
            <a:extLst>
              <a:ext uri="{FF2B5EF4-FFF2-40B4-BE49-F238E27FC236}">
                <a16:creationId xmlns:a16="http://schemas.microsoft.com/office/drawing/2014/main" id="{354B3A3D-8A24-48AC-9160-1E6F8480041E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29" name="$B$1">
            <a:extLst>
              <a:ext uri="{FF2B5EF4-FFF2-40B4-BE49-F238E27FC236}">
                <a16:creationId xmlns:a16="http://schemas.microsoft.com/office/drawing/2014/main" id="{BC64D419-9F4B-46CE-B749-436C5E31F32F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0" name="$B$1">
            <a:extLst>
              <a:ext uri="{FF2B5EF4-FFF2-40B4-BE49-F238E27FC236}">
                <a16:creationId xmlns:a16="http://schemas.microsoft.com/office/drawing/2014/main" id="{6DA54FF4-5AEF-4F24-9732-DBB8648C0ACC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1" name="$B$1">
            <a:extLst>
              <a:ext uri="{FF2B5EF4-FFF2-40B4-BE49-F238E27FC236}">
                <a16:creationId xmlns:a16="http://schemas.microsoft.com/office/drawing/2014/main" id="{C8A15C52-FF1E-48D2-AB36-04525CE4FE85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2" name="$B$1">
            <a:extLst>
              <a:ext uri="{FF2B5EF4-FFF2-40B4-BE49-F238E27FC236}">
                <a16:creationId xmlns:a16="http://schemas.microsoft.com/office/drawing/2014/main" id="{796A6918-07B8-4AB3-A313-3325A2E7ABE1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3" name="$B$1">
            <a:extLst>
              <a:ext uri="{FF2B5EF4-FFF2-40B4-BE49-F238E27FC236}">
                <a16:creationId xmlns:a16="http://schemas.microsoft.com/office/drawing/2014/main" id="{BF8639B8-2F4D-423C-AE45-3F3D1DA65198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4" name="$B$1">
            <a:extLst>
              <a:ext uri="{FF2B5EF4-FFF2-40B4-BE49-F238E27FC236}">
                <a16:creationId xmlns:a16="http://schemas.microsoft.com/office/drawing/2014/main" id="{B3F23ABC-95A2-49AE-B969-E8951E3E2B0D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5" name="$B$1">
            <a:extLst>
              <a:ext uri="{FF2B5EF4-FFF2-40B4-BE49-F238E27FC236}">
                <a16:creationId xmlns:a16="http://schemas.microsoft.com/office/drawing/2014/main" id="{B5CE7541-7476-4A80-BBC0-9FAD7BED1CB0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6" name="$B$1">
            <a:extLst>
              <a:ext uri="{FF2B5EF4-FFF2-40B4-BE49-F238E27FC236}">
                <a16:creationId xmlns:a16="http://schemas.microsoft.com/office/drawing/2014/main" id="{2DAFF82A-0570-477B-AEE4-3F8A48C98C00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7" name="$B$1">
            <a:extLst>
              <a:ext uri="{FF2B5EF4-FFF2-40B4-BE49-F238E27FC236}">
                <a16:creationId xmlns:a16="http://schemas.microsoft.com/office/drawing/2014/main" id="{07A1FD39-2601-4332-9561-B7649EF45546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8" name="$B$1">
            <a:extLst>
              <a:ext uri="{FF2B5EF4-FFF2-40B4-BE49-F238E27FC236}">
                <a16:creationId xmlns:a16="http://schemas.microsoft.com/office/drawing/2014/main" id="{CD896682-29A8-4FC1-85A7-EC21EF066A55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39" name="$B$1">
            <a:extLst>
              <a:ext uri="{FF2B5EF4-FFF2-40B4-BE49-F238E27FC236}">
                <a16:creationId xmlns:a16="http://schemas.microsoft.com/office/drawing/2014/main" id="{422FD134-B55E-41DA-880C-61B38557C5ED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0" name="$B$1">
            <a:extLst>
              <a:ext uri="{FF2B5EF4-FFF2-40B4-BE49-F238E27FC236}">
                <a16:creationId xmlns:a16="http://schemas.microsoft.com/office/drawing/2014/main" id="{13694BCE-462C-475B-8E56-3812B4858563}"/>
              </a:ext>
            </a:extLst>
          </xdr:cNvPr>
          <xdr:cNvSpPr/>
        </xdr:nvSpPr>
        <xdr:spPr>
          <a:xfrm>
            <a:off x="482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1" name="$B$1">
            <a:extLst>
              <a:ext uri="{FF2B5EF4-FFF2-40B4-BE49-F238E27FC236}">
                <a16:creationId xmlns:a16="http://schemas.microsoft.com/office/drawing/2014/main" id="{12A5FE51-06C7-4631-AF56-3072355B7FEA}"/>
              </a:ext>
            </a:extLst>
          </xdr:cNvPr>
          <xdr:cNvSpPr/>
        </xdr:nvSpPr>
        <xdr:spPr>
          <a:xfrm>
            <a:off x="495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2" name="$B$1">
            <a:extLst>
              <a:ext uri="{FF2B5EF4-FFF2-40B4-BE49-F238E27FC236}">
                <a16:creationId xmlns:a16="http://schemas.microsoft.com/office/drawing/2014/main" id="{0433E096-5BD0-4D72-8FBB-BC41C9871EB2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3" name="$B$1">
            <a:extLst>
              <a:ext uri="{FF2B5EF4-FFF2-40B4-BE49-F238E27FC236}">
                <a16:creationId xmlns:a16="http://schemas.microsoft.com/office/drawing/2014/main" id="{4BCB57F5-D49A-4045-ABAF-80B684A1A57C}"/>
              </a:ext>
            </a:extLst>
          </xdr:cNvPr>
          <xdr:cNvSpPr/>
        </xdr:nvSpPr>
        <xdr:spPr>
          <a:xfrm>
            <a:off x="520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4" name="$B$1">
            <a:extLst>
              <a:ext uri="{FF2B5EF4-FFF2-40B4-BE49-F238E27FC236}">
                <a16:creationId xmlns:a16="http://schemas.microsoft.com/office/drawing/2014/main" id="{6C9E6D49-6DC8-4C14-A593-AC946E343AD2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5" name="$B$1">
            <a:extLst>
              <a:ext uri="{FF2B5EF4-FFF2-40B4-BE49-F238E27FC236}">
                <a16:creationId xmlns:a16="http://schemas.microsoft.com/office/drawing/2014/main" id="{641C32E0-C86D-410A-AD4B-73D2C8CB7E61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6" name="$B$1">
            <a:extLst>
              <a:ext uri="{FF2B5EF4-FFF2-40B4-BE49-F238E27FC236}">
                <a16:creationId xmlns:a16="http://schemas.microsoft.com/office/drawing/2014/main" id="{270D722E-22E9-4702-8E02-E95B6021F0F9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7" name="$B$1">
            <a:extLst>
              <a:ext uri="{FF2B5EF4-FFF2-40B4-BE49-F238E27FC236}">
                <a16:creationId xmlns:a16="http://schemas.microsoft.com/office/drawing/2014/main" id="{EA90D104-0DC2-4157-9E2F-DD7C6EBF7B3A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8" name="$B$1">
            <a:extLst>
              <a:ext uri="{FF2B5EF4-FFF2-40B4-BE49-F238E27FC236}">
                <a16:creationId xmlns:a16="http://schemas.microsoft.com/office/drawing/2014/main" id="{E1B730CD-629B-49EA-B81D-A78468ABEBA6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49" name="$B$1">
            <a:extLst>
              <a:ext uri="{FF2B5EF4-FFF2-40B4-BE49-F238E27FC236}">
                <a16:creationId xmlns:a16="http://schemas.microsoft.com/office/drawing/2014/main" id="{FD84E141-5883-4DB3-8450-C73042E6219C}"/>
              </a:ext>
            </a:extLst>
          </xdr:cNvPr>
          <xdr:cNvSpPr/>
        </xdr:nvSpPr>
        <xdr:spPr>
          <a:xfrm>
            <a:off x="723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0" name="$B$1">
            <a:extLst>
              <a:ext uri="{FF2B5EF4-FFF2-40B4-BE49-F238E27FC236}">
                <a16:creationId xmlns:a16="http://schemas.microsoft.com/office/drawing/2014/main" id="{B12BB631-C33C-4057-AADF-F787EB435FF2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1" name="$B$1">
            <a:extLst>
              <a:ext uri="{FF2B5EF4-FFF2-40B4-BE49-F238E27FC236}">
                <a16:creationId xmlns:a16="http://schemas.microsoft.com/office/drawing/2014/main" id="{7A40693D-C79D-4A5A-BB01-4994A4FA6E61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2" name="$B$1">
            <a:extLst>
              <a:ext uri="{FF2B5EF4-FFF2-40B4-BE49-F238E27FC236}">
                <a16:creationId xmlns:a16="http://schemas.microsoft.com/office/drawing/2014/main" id="{7D522A0B-7619-49CF-8661-5A82AC42D13D}"/>
              </a:ext>
            </a:extLst>
          </xdr:cNvPr>
          <xdr:cNvSpPr/>
        </xdr:nvSpPr>
        <xdr:spPr>
          <a:xfrm>
            <a:off x="812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3" name="$B$1">
            <a:extLst>
              <a:ext uri="{FF2B5EF4-FFF2-40B4-BE49-F238E27FC236}">
                <a16:creationId xmlns:a16="http://schemas.microsoft.com/office/drawing/2014/main" id="{4A332A66-834D-49EC-BD8C-AB4F09699E20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4" name="$B$1">
            <a:extLst>
              <a:ext uri="{FF2B5EF4-FFF2-40B4-BE49-F238E27FC236}">
                <a16:creationId xmlns:a16="http://schemas.microsoft.com/office/drawing/2014/main" id="{B5CF5862-1BFE-42F3-9C84-FC25FED6967C}"/>
              </a:ext>
            </a:extLst>
          </xdr:cNvPr>
          <xdr:cNvSpPr/>
        </xdr:nvSpPr>
        <xdr:spPr>
          <a:xfrm>
            <a:off x="838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5" name="$B$1">
            <a:extLst>
              <a:ext uri="{FF2B5EF4-FFF2-40B4-BE49-F238E27FC236}">
                <a16:creationId xmlns:a16="http://schemas.microsoft.com/office/drawing/2014/main" id="{2B57D3A5-000E-466D-93FB-4B1F5F948FC6}"/>
              </a:ext>
            </a:extLst>
          </xdr:cNvPr>
          <xdr:cNvSpPr/>
        </xdr:nvSpPr>
        <xdr:spPr>
          <a:xfrm>
            <a:off x="850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6" name="$B$1">
            <a:extLst>
              <a:ext uri="{FF2B5EF4-FFF2-40B4-BE49-F238E27FC236}">
                <a16:creationId xmlns:a16="http://schemas.microsoft.com/office/drawing/2014/main" id="{F5F7A6F3-5830-4157-BD4B-AC84FAC35C3E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7" name="$B$1">
            <a:extLst>
              <a:ext uri="{FF2B5EF4-FFF2-40B4-BE49-F238E27FC236}">
                <a16:creationId xmlns:a16="http://schemas.microsoft.com/office/drawing/2014/main" id="{2CF65BA4-0C4B-404B-8D90-DB2D6D3263DB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8" name="$B$1">
            <a:extLst>
              <a:ext uri="{FF2B5EF4-FFF2-40B4-BE49-F238E27FC236}">
                <a16:creationId xmlns:a16="http://schemas.microsoft.com/office/drawing/2014/main" id="{F134E04C-D37A-43F0-B5AB-566F5E243B7B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59" name="$B$1">
            <a:extLst>
              <a:ext uri="{FF2B5EF4-FFF2-40B4-BE49-F238E27FC236}">
                <a16:creationId xmlns:a16="http://schemas.microsoft.com/office/drawing/2014/main" id="{FE16C99D-23E4-4A9E-807A-E3502250C05E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0" name="$B$1">
            <a:extLst>
              <a:ext uri="{FF2B5EF4-FFF2-40B4-BE49-F238E27FC236}">
                <a16:creationId xmlns:a16="http://schemas.microsoft.com/office/drawing/2014/main" id="{3E71DA0D-3105-4C78-86A4-4C80EC443FDF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1" name="$B$1">
            <a:extLst>
              <a:ext uri="{FF2B5EF4-FFF2-40B4-BE49-F238E27FC236}">
                <a16:creationId xmlns:a16="http://schemas.microsoft.com/office/drawing/2014/main" id="{CB1C0D82-8473-42F5-8799-2D4F45C11CB0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2" name="$B$1">
            <a:extLst>
              <a:ext uri="{FF2B5EF4-FFF2-40B4-BE49-F238E27FC236}">
                <a16:creationId xmlns:a16="http://schemas.microsoft.com/office/drawing/2014/main" id="{2B1D9D07-27FB-4120-920E-94FC98983F71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3" name="$B$1">
            <a:extLst>
              <a:ext uri="{FF2B5EF4-FFF2-40B4-BE49-F238E27FC236}">
                <a16:creationId xmlns:a16="http://schemas.microsoft.com/office/drawing/2014/main" id="{3B7C9298-0109-48E6-82B4-DDA609329462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4" name="$B$1">
            <a:extLst>
              <a:ext uri="{FF2B5EF4-FFF2-40B4-BE49-F238E27FC236}">
                <a16:creationId xmlns:a16="http://schemas.microsoft.com/office/drawing/2014/main" id="{D115C646-5B0A-4BEE-A746-0DE00B0F517D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5" name="$B$1">
            <a:extLst>
              <a:ext uri="{FF2B5EF4-FFF2-40B4-BE49-F238E27FC236}">
                <a16:creationId xmlns:a16="http://schemas.microsoft.com/office/drawing/2014/main" id="{CC1425F1-FDD4-4DC7-B3CE-6F7847B264ED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6" name="$B$1">
            <a:extLst>
              <a:ext uri="{FF2B5EF4-FFF2-40B4-BE49-F238E27FC236}">
                <a16:creationId xmlns:a16="http://schemas.microsoft.com/office/drawing/2014/main" id="{5B3FAFDC-1BF1-4A50-AB26-42D27D98C655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7" name="$B$1">
            <a:extLst>
              <a:ext uri="{FF2B5EF4-FFF2-40B4-BE49-F238E27FC236}">
                <a16:creationId xmlns:a16="http://schemas.microsoft.com/office/drawing/2014/main" id="{3B82F77E-BA6C-49B0-ABA5-26E29ECAD348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8" name="$B$1">
            <a:extLst>
              <a:ext uri="{FF2B5EF4-FFF2-40B4-BE49-F238E27FC236}">
                <a16:creationId xmlns:a16="http://schemas.microsoft.com/office/drawing/2014/main" id="{1C9202EE-C951-4F3A-81D0-41853BBB0CD2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69" name="$B$1">
            <a:extLst>
              <a:ext uri="{FF2B5EF4-FFF2-40B4-BE49-F238E27FC236}">
                <a16:creationId xmlns:a16="http://schemas.microsoft.com/office/drawing/2014/main" id="{72C2DD6E-F762-4B3C-9158-CB0F82A95C16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0" name="$B$1">
            <a:extLst>
              <a:ext uri="{FF2B5EF4-FFF2-40B4-BE49-F238E27FC236}">
                <a16:creationId xmlns:a16="http://schemas.microsoft.com/office/drawing/2014/main" id="{0DEA94A3-1180-4894-9240-877E48CF0782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1" name="$B$1">
            <a:extLst>
              <a:ext uri="{FF2B5EF4-FFF2-40B4-BE49-F238E27FC236}">
                <a16:creationId xmlns:a16="http://schemas.microsoft.com/office/drawing/2014/main" id="{E7CAC910-04EC-4D12-A224-F9E5F4452F79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2" name="$B$1">
            <a:extLst>
              <a:ext uri="{FF2B5EF4-FFF2-40B4-BE49-F238E27FC236}">
                <a16:creationId xmlns:a16="http://schemas.microsoft.com/office/drawing/2014/main" id="{7AA24E8A-FEEE-4B57-B76A-D45101D303D5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3" name="$B$1">
            <a:extLst>
              <a:ext uri="{FF2B5EF4-FFF2-40B4-BE49-F238E27FC236}">
                <a16:creationId xmlns:a16="http://schemas.microsoft.com/office/drawing/2014/main" id="{70D86946-FAC8-450C-8565-F97B3E96942C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4" name="$B$1">
            <a:extLst>
              <a:ext uri="{FF2B5EF4-FFF2-40B4-BE49-F238E27FC236}">
                <a16:creationId xmlns:a16="http://schemas.microsoft.com/office/drawing/2014/main" id="{0EEA879E-D00C-44E9-875D-65E7288D1B0A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5" name="$B$1">
            <a:extLst>
              <a:ext uri="{FF2B5EF4-FFF2-40B4-BE49-F238E27FC236}">
                <a16:creationId xmlns:a16="http://schemas.microsoft.com/office/drawing/2014/main" id="{900AD634-F1A1-4FF0-A197-9E0815EE536F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6" name="$B$1">
            <a:extLst>
              <a:ext uri="{FF2B5EF4-FFF2-40B4-BE49-F238E27FC236}">
                <a16:creationId xmlns:a16="http://schemas.microsoft.com/office/drawing/2014/main" id="{C5B23AA5-ECC8-4A5D-94D3-2B6A0300CC0E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7" name="$B$1">
            <a:extLst>
              <a:ext uri="{FF2B5EF4-FFF2-40B4-BE49-F238E27FC236}">
                <a16:creationId xmlns:a16="http://schemas.microsoft.com/office/drawing/2014/main" id="{B0688675-4352-433D-AAD5-4D66F33A0873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8" name="$B$1">
            <a:extLst>
              <a:ext uri="{FF2B5EF4-FFF2-40B4-BE49-F238E27FC236}">
                <a16:creationId xmlns:a16="http://schemas.microsoft.com/office/drawing/2014/main" id="{6DC9C032-B83E-4B54-BE7B-0E83151B682C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79" name="$B$1">
            <a:extLst>
              <a:ext uri="{FF2B5EF4-FFF2-40B4-BE49-F238E27FC236}">
                <a16:creationId xmlns:a16="http://schemas.microsoft.com/office/drawing/2014/main" id="{34D04F73-1331-4934-9988-F93CC6C8EFE2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0" name="$B$1">
            <a:extLst>
              <a:ext uri="{FF2B5EF4-FFF2-40B4-BE49-F238E27FC236}">
                <a16:creationId xmlns:a16="http://schemas.microsoft.com/office/drawing/2014/main" id="{31E33447-E51C-4293-8EB8-C5D41F095FEC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1" name="$B$1">
            <a:extLst>
              <a:ext uri="{FF2B5EF4-FFF2-40B4-BE49-F238E27FC236}">
                <a16:creationId xmlns:a16="http://schemas.microsoft.com/office/drawing/2014/main" id="{896B14C4-2FCF-493B-8A92-EC0C4B5FC248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2" name="$B$1">
            <a:extLst>
              <a:ext uri="{FF2B5EF4-FFF2-40B4-BE49-F238E27FC236}">
                <a16:creationId xmlns:a16="http://schemas.microsoft.com/office/drawing/2014/main" id="{8A1914F7-618C-41A9-AA93-DA63F9CC4C4E}"/>
              </a:ext>
            </a:extLst>
          </xdr:cNvPr>
          <xdr:cNvSpPr/>
        </xdr:nvSpPr>
        <xdr:spPr>
          <a:xfrm>
            <a:off x="330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3" name="$B$1">
            <a:extLst>
              <a:ext uri="{FF2B5EF4-FFF2-40B4-BE49-F238E27FC236}">
                <a16:creationId xmlns:a16="http://schemas.microsoft.com/office/drawing/2014/main" id="{BF161ABE-A377-47CB-B06E-7B241F031620}"/>
              </a:ext>
            </a:extLst>
          </xdr:cNvPr>
          <xdr:cNvSpPr/>
        </xdr:nvSpPr>
        <xdr:spPr>
          <a:xfrm>
            <a:off x="355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4" name="$B$1">
            <a:extLst>
              <a:ext uri="{FF2B5EF4-FFF2-40B4-BE49-F238E27FC236}">
                <a16:creationId xmlns:a16="http://schemas.microsoft.com/office/drawing/2014/main" id="{D57B9637-3551-43AD-BAB9-A25F29A219FD}"/>
              </a:ext>
            </a:extLst>
          </xdr:cNvPr>
          <xdr:cNvSpPr/>
        </xdr:nvSpPr>
        <xdr:spPr>
          <a:xfrm>
            <a:off x="368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5" name="$B$1">
            <a:extLst>
              <a:ext uri="{FF2B5EF4-FFF2-40B4-BE49-F238E27FC236}">
                <a16:creationId xmlns:a16="http://schemas.microsoft.com/office/drawing/2014/main" id="{08CDA219-95C6-419A-B8BE-FD713210479D}"/>
              </a:ext>
            </a:extLst>
          </xdr:cNvPr>
          <xdr:cNvSpPr/>
        </xdr:nvSpPr>
        <xdr:spPr>
          <a:xfrm>
            <a:off x="381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6" name="$B$1">
            <a:extLst>
              <a:ext uri="{FF2B5EF4-FFF2-40B4-BE49-F238E27FC236}">
                <a16:creationId xmlns:a16="http://schemas.microsoft.com/office/drawing/2014/main" id="{BBD8992A-C002-4DEA-8AE6-F443CDFD9637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7" name="$B$1">
            <a:extLst>
              <a:ext uri="{FF2B5EF4-FFF2-40B4-BE49-F238E27FC236}">
                <a16:creationId xmlns:a16="http://schemas.microsoft.com/office/drawing/2014/main" id="{DDD105A6-7C32-41F1-B8A3-51923E699BA7}"/>
              </a:ext>
            </a:extLst>
          </xdr:cNvPr>
          <xdr:cNvSpPr/>
        </xdr:nvSpPr>
        <xdr:spPr>
          <a:xfrm>
            <a:off x="469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8" name="$B$1">
            <a:extLst>
              <a:ext uri="{FF2B5EF4-FFF2-40B4-BE49-F238E27FC236}">
                <a16:creationId xmlns:a16="http://schemas.microsoft.com/office/drawing/2014/main" id="{9D334498-7050-4B9B-A963-66AB68BDE26E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89" name="$B$1">
            <a:extLst>
              <a:ext uri="{FF2B5EF4-FFF2-40B4-BE49-F238E27FC236}">
                <a16:creationId xmlns:a16="http://schemas.microsoft.com/office/drawing/2014/main" id="{2A93118C-C107-4D81-B476-14EE44776786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0" name="$B$1">
            <a:extLst>
              <a:ext uri="{FF2B5EF4-FFF2-40B4-BE49-F238E27FC236}">
                <a16:creationId xmlns:a16="http://schemas.microsoft.com/office/drawing/2014/main" id="{4A4AAF4E-8698-49D5-BABC-92AF5A3F32A9}"/>
              </a:ext>
            </a:extLst>
          </xdr:cNvPr>
          <xdr:cNvSpPr/>
        </xdr:nvSpPr>
        <xdr:spPr>
          <a:xfrm>
            <a:off x="520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1" name="$B$1">
            <a:extLst>
              <a:ext uri="{FF2B5EF4-FFF2-40B4-BE49-F238E27FC236}">
                <a16:creationId xmlns:a16="http://schemas.microsoft.com/office/drawing/2014/main" id="{0FC33E1E-518F-4200-9D67-B05E53AF5518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2" name="$B$1">
            <a:extLst>
              <a:ext uri="{FF2B5EF4-FFF2-40B4-BE49-F238E27FC236}">
                <a16:creationId xmlns:a16="http://schemas.microsoft.com/office/drawing/2014/main" id="{6935FFB9-15DA-4C59-B835-8C8913410888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3" name="$B$1">
            <a:extLst>
              <a:ext uri="{FF2B5EF4-FFF2-40B4-BE49-F238E27FC236}">
                <a16:creationId xmlns:a16="http://schemas.microsoft.com/office/drawing/2014/main" id="{DCE60A5A-3EEF-4008-BE93-5BED3151EEE4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4" name="$B$1">
            <a:extLst>
              <a:ext uri="{FF2B5EF4-FFF2-40B4-BE49-F238E27FC236}">
                <a16:creationId xmlns:a16="http://schemas.microsoft.com/office/drawing/2014/main" id="{ECE53ECC-E834-4789-B686-4695FF0D2243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5" name="$B$1">
            <a:extLst>
              <a:ext uri="{FF2B5EF4-FFF2-40B4-BE49-F238E27FC236}">
                <a16:creationId xmlns:a16="http://schemas.microsoft.com/office/drawing/2014/main" id="{744BCA2E-C108-4708-AAE0-713BC3EA0358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6" name="$B$1">
            <a:extLst>
              <a:ext uri="{FF2B5EF4-FFF2-40B4-BE49-F238E27FC236}">
                <a16:creationId xmlns:a16="http://schemas.microsoft.com/office/drawing/2014/main" id="{4C79ECDD-491C-40BC-8915-E5F724B8E2AD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7" name="$B$1">
            <a:extLst>
              <a:ext uri="{FF2B5EF4-FFF2-40B4-BE49-F238E27FC236}">
                <a16:creationId xmlns:a16="http://schemas.microsoft.com/office/drawing/2014/main" id="{E9004A1D-8592-49CB-904E-F5F718B9B839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8" name="$B$1">
            <a:extLst>
              <a:ext uri="{FF2B5EF4-FFF2-40B4-BE49-F238E27FC236}">
                <a16:creationId xmlns:a16="http://schemas.microsoft.com/office/drawing/2014/main" id="{8BD1F739-04B3-4CD5-9CAC-A13631525335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99" name="$B$1">
            <a:extLst>
              <a:ext uri="{FF2B5EF4-FFF2-40B4-BE49-F238E27FC236}">
                <a16:creationId xmlns:a16="http://schemas.microsoft.com/office/drawing/2014/main" id="{2551983C-8F22-46AE-A13F-FA0F975AE65F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0" name="$B$1">
            <a:extLst>
              <a:ext uri="{FF2B5EF4-FFF2-40B4-BE49-F238E27FC236}">
                <a16:creationId xmlns:a16="http://schemas.microsoft.com/office/drawing/2014/main" id="{F74DC2FC-4D3C-4B5B-89F5-CC0BC36F537B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1" name="$B$1">
            <a:extLst>
              <a:ext uri="{FF2B5EF4-FFF2-40B4-BE49-F238E27FC236}">
                <a16:creationId xmlns:a16="http://schemas.microsoft.com/office/drawing/2014/main" id="{93DF2EEB-5120-4071-A7D1-B0D3B1E9B092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2" name="$B$1">
            <a:extLst>
              <a:ext uri="{FF2B5EF4-FFF2-40B4-BE49-F238E27FC236}">
                <a16:creationId xmlns:a16="http://schemas.microsoft.com/office/drawing/2014/main" id="{85A2285E-511F-47AA-A877-E0B89B6B1302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3" name="$B$1">
            <a:extLst>
              <a:ext uri="{FF2B5EF4-FFF2-40B4-BE49-F238E27FC236}">
                <a16:creationId xmlns:a16="http://schemas.microsoft.com/office/drawing/2014/main" id="{6EE7AF52-26C1-427B-9DB2-95752EAF7EDB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4" name="$B$1">
            <a:extLst>
              <a:ext uri="{FF2B5EF4-FFF2-40B4-BE49-F238E27FC236}">
                <a16:creationId xmlns:a16="http://schemas.microsoft.com/office/drawing/2014/main" id="{2E6490A9-3D1A-4E3E-8971-172901C06EC4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5" name="$B$1">
            <a:extLst>
              <a:ext uri="{FF2B5EF4-FFF2-40B4-BE49-F238E27FC236}">
                <a16:creationId xmlns:a16="http://schemas.microsoft.com/office/drawing/2014/main" id="{D9246B68-C904-4145-A2D6-3D757BE9E99E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6" name="$B$1">
            <a:extLst>
              <a:ext uri="{FF2B5EF4-FFF2-40B4-BE49-F238E27FC236}">
                <a16:creationId xmlns:a16="http://schemas.microsoft.com/office/drawing/2014/main" id="{101AE691-E5AC-45F4-A063-3AE0C55040AB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7" name="$B$1">
            <a:extLst>
              <a:ext uri="{FF2B5EF4-FFF2-40B4-BE49-F238E27FC236}">
                <a16:creationId xmlns:a16="http://schemas.microsoft.com/office/drawing/2014/main" id="{0C8B5B27-3744-40B8-8959-D17F680DAB9F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8" name="$B$1">
            <a:extLst>
              <a:ext uri="{FF2B5EF4-FFF2-40B4-BE49-F238E27FC236}">
                <a16:creationId xmlns:a16="http://schemas.microsoft.com/office/drawing/2014/main" id="{1B1D87CD-CF14-4E5F-850A-33DC797FC2A6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09" name="$B$1">
            <a:extLst>
              <a:ext uri="{FF2B5EF4-FFF2-40B4-BE49-F238E27FC236}">
                <a16:creationId xmlns:a16="http://schemas.microsoft.com/office/drawing/2014/main" id="{EA5363B6-4B35-4EDA-9F8D-D00DE55CAE70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0" name="$B$1">
            <a:extLst>
              <a:ext uri="{FF2B5EF4-FFF2-40B4-BE49-F238E27FC236}">
                <a16:creationId xmlns:a16="http://schemas.microsoft.com/office/drawing/2014/main" id="{D0B199D5-3161-4ED2-82FC-C657E5C82783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1" name="$B$1">
            <a:extLst>
              <a:ext uri="{FF2B5EF4-FFF2-40B4-BE49-F238E27FC236}">
                <a16:creationId xmlns:a16="http://schemas.microsoft.com/office/drawing/2014/main" id="{B0E938E3-A234-4FC8-89FE-DCD80D65311B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2" name="$B$1">
            <a:extLst>
              <a:ext uri="{FF2B5EF4-FFF2-40B4-BE49-F238E27FC236}">
                <a16:creationId xmlns:a16="http://schemas.microsoft.com/office/drawing/2014/main" id="{5485E51D-850E-459E-9A57-463CAAE64FA9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3" name="$B$1">
            <a:extLst>
              <a:ext uri="{FF2B5EF4-FFF2-40B4-BE49-F238E27FC236}">
                <a16:creationId xmlns:a16="http://schemas.microsoft.com/office/drawing/2014/main" id="{B0417384-670E-48BC-AA0C-65765BF7F9FF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4" name="$B$1">
            <a:extLst>
              <a:ext uri="{FF2B5EF4-FFF2-40B4-BE49-F238E27FC236}">
                <a16:creationId xmlns:a16="http://schemas.microsoft.com/office/drawing/2014/main" id="{B0CF1314-75BE-4E8B-9C54-82E48A81CDB0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5" name="$B$1">
            <a:extLst>
              <a:ext uri="{FF2B5EF4-FFF2-40B4-BE49-F238E27FC236}">
                <a16:creationId xmlns:a16="http://schemas.microsoft.com/office/drawing/2014/main" id="{6A63C4FE-E3DE-4509-848A-4B33BC2F7519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6" name="$B$1">
            <a:extLst>
              <a:ext uri="{FF2B5EF4-FFF2-40B4-BE49-F238E27FC236}">
                <a16:creationId xmlns:a16="http://schemas.microsoft.com/office/drawing/2014/main" id="{0D0F520A-589C-4D2B-A50A-B862AEFA8FF2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7" name="$B$1">
            <a:extLst>
              <a:ext uri="{FF2B5EF4-FFF2-40B4-BE49-F238E27FC236}">
                <a16:creationId xmlns:a16="http://schemas.microsoft.com/office/drawing/2014/main" id="{0DB1D724-7485-4F13-8FB2-25AD1A5C6FBC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8" name="$B$1">
            <a:extLst>
              <a:ext uri="{FF2B5EF4-FFF2-40B4-BE49-F238E27FC236}">
                <a16:creationId xmlns:a16="http://schemas.microsoft.com/office/drawing/2014/main" id="{BBE65DFA-8EC0-475E-98CA-CA6C610D46CD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19" name="$B$1">
            <a:extLst>
              <a:ext uri="{FF2B5EF4-FFF2-40B4-BE49-F238E27FC236}">
                <a16:creationId xmlns:a16="http://schemas.microsoft.com/office/drawing/2014/main" id="{44A74DB4-CD32-4F35-855E-5CE0441F8AB4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0" name="$B$1">
            <a:extLst>
              <a:ext uri="{FF2B5EF4-FFF2-40B4-BE49-F238E27FC236}">
                <a16:creationId xmlns:a16="http://schemas.microsoft.com/office/drawing/2014/main" id="{6EEF7869-4D9E-445A-B68B-9A9DCDBC1FC4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1" name="$B$1">
            <a:extLst>
              <a:ext uri="{FF2B5EF4-FFF2-40B4-BE49-F238E27FC236}">
                <a16:creationId xmlns:a16="http://schemas.microsoft.com/office/drawing/2014/main" id="{A10D5C36-B4A3-426D-A622-C0591E824742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2" name="$B$1">
            <a:extLst>
              <a:ext uri="{FF2B5EF4-FFF2-40B4-BE49-F238E27FC236}">
                <a16:creationId xmlns:a16="http://schemas.microsoft.com/office/drawing/2014/main" id="{766B742E-DD5A-4A02-87EF-1C2E2EF20921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3" name="$B$1">
            <a:extLst>
              <a:ext uri="{FF2B5EF4-FFF2-40B4-BE49-F238E27FC236}">
                <a16:creationId xmlns:a16="http://schemas.microsoft.com/office/drawing/2014/main" id="{597772F6-8AD8-430F-9D55-B3C650623AE0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4" name="$B$1">
            <a:extLst>
              <a:ext uri="{FF2B5EF4-FFF2-40B4-BE49-F238E27FC236}">
                <a16:creationId xmlns:a16="http://schemas.microsoft.com/office/drawing/2014/main" id="{FD696B43-CCF5-4282-A57C-4CDD402339FD}"/>
              </a:ext>
            </a:extLst>
          </xdr:cNvPr>
          <xdr:cNvSpPr/>
        </xdr:nvSpPr>
        <xdr:spPr>
          <a:xfrm>
            <a:off x="254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5" name="$B$1">
            <a:extLst>
              <a:ext uri="{FF2B5EF4-FFF2-40B4-BE49-F238E27FC236}">
                <a16:creationId xmlns:a16="http://schemas.microsoft.com/office/drawing/2014/main" id="{60CD3229-AE3B-415C-95A9-42BDF815FABE}"/>
              </a:ext>
            </a:extLst>
          </xdr:cNvPr>
          <xdr:cNvSpPr/>
        </xdr:nvSpPr>
        <xdr:spPr>
          <a:xfrm>
            <a:off x="279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6" name="$B$1">
            <a:extLst>
              <a:ext uri="{FF2B5EF4-FFF2-40B4-BE49-F238E27FC236}">
                <a16:creationId xmlns:a16="http://schemas.microsoft.com/office/drawing/2014/main" id="{F0E20349-1ABA-4A54-822F-CD5605166732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7" name="$B$1">
            <a:extLst>
              <a:ext uri="{FF2B5EF4-FFF2-40B4-BE49-F238E27FC236}">
                <a16:creationId xmlns:a16="http://schemas.microsoft.com/office/drawing/2014/main" id="{F522F927-1BE4-4C09-A7EA-B6D7CC0ADE83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8" name="$B$1">
            <a:extLst>
              <a:ext uri="{FF2B5EF4-FFF2-40B4-BE49-F238E27FC236}">
                <a16:creationId xmlns:a16="http://schemas.microsoft.com/office/drawing/2014/main" id="{3554E275-1FB6-415C-A948-92B541B238C5}"/>
              </a:ext>
            </a:extLst>
          </xdr:cNvPr>
          <xdr:cNvSpPr/>
        </xdr:nvSpPr>
        <xdr:spPr>
          <a:xfrm>
            <a:off x="342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29" name="$B$1">
            <a:extLst>
              <a:ext uri="{FF2B5EF4-FFF2-40B4-BE49-F238E27FC236}">
                <a16:creationId xmlns:a16="http://schemas.microsoft.com/office/drawing/2014/main" id="{06643509-B1B3-4CA8-BE4F-19DF1060D814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0" name="$B$1">
            <a:extLst>
              <a:ext uri="{FF2B5EF4-FFF2-40B4-BE49-F238E27FC236}">
                <a16:creationId xmlns:a16="http://schemas.microsoft.com/office/drawing/2014/main" id="{E209EC60-6813-4185-96EF-3F587B247EDC}"/>
              </a:ext>
            </a:extLst>
          </xdr:cNvPr>
          <xdr:cNvSpPr/>
        </xdr:nvSpPr>
        <xdr:spPr>
          <a:xfrm>
            <a:off x="406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1" name="$B$1">
            <a:extLst>
              <a:ext uri="{FF2B5EF4-FFF2-40B4-BE49-F238E27FC236}">
                <a16:creationId xmlns:a16="http://schemas.microsoft.com/office/drawing/2014/main" id="{10384C80-8E43-4CA7-A4B6-24D15837D4A6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2" name="$B$1">
            <a:extLst>
              <a:ext uri="{FF2B5EF4-FFF2-40B4-BE49-F238E27FC236}">
                <a16:creationId xmlns:a16="http://schemas.microsoft.com/office/drawing/2014/main" id="{2E6FAA79-9D97-4C42-AAF4-AE3C6DFC5A99}"/>
              </a:ext>
            </a:extLst>
          </xdr:cNvPr>
          <xdr:cNvSpPr/>
        </xdr:nvSpPr>
        <xdr:spPr>
          <a:xfrm>
            <a:off x="482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3" name="$B$1">
            <a:extLst>
              <a:ext uri="{FF2B5EF4-FFF2-40B4-BE49-F238E27FC236}">
                <a16:creationId xmlns:a16="http://schemas.microsoft.com/office/drawing/2014/main" id="{DBE195F8-8DFB-41EB-B727-1BEF6AD0418A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4" name="$B$1">
            <a:extLst>
              <a:ext uri="{FF2B5EF4-FFF2-40B4-BE49-F238E27FC236}">
                <a16:creationId xmlns:a16="http://schemas.microsoft.com/office/drawing/2014/main" id="{BFA220AF-3C0E-4218-BA4C-87A9C901F246}"/>
              </a:ext>
            </a:extLst>
          </xdr:cNvPr>
          <xdr:cNvSpPr/>
        </xdr:nvSpPr>
        <xdr:spPr>
          <a:xfrm>
            <a:off x="508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5" name="$B$1">
            <a:extLst>
              <a:ext uri="{FF2B5EF4-FFF2-40B4-BE49-F238E27FC236}">
                <a16:creationId xmlns:a16="http://schemas.microsoft.com/office/drawing/2014/main" id="{3F2B474E-522E-4D83-92B8-D1AD88B2B348}"/>
              </a:ext>
            </a:extLst>
          </xdr:cNvPr>
          <xdr:cNvSpPr/>
        </xdr:nvSpPr>
        <xdr:spPr>
          <a:xfrm>
            <a:off x="520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6" name="$B$1">
            <a:extLst>
              <a:ext uri="{FF2B5EF4-FFF2-40B4-BE49-F238E27FC236}">
                <a16:creationId xmlns:a16="http://schemas.microsoft.com/office/drawing/2014/main" id="{23539025-C7A5-44DA-A306-6415E89554DB}"/>
              </a:ext>
            </a:extLst>
          </xdr:cNvPr>
          <xdr:cNvSpPr/>
        </xdr:nvSpPr>
        <xdr:spPr>
          <a:xfrm>
            <a:off x="533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7" name="$B$1">
            <a:extLst>
              <a:ext uri="{FF2B5EF4-FFF2-40B4-BE49-F238E27FC236}">
                <a16:creationId xmlns:a16="http://schemas.microsoft.com/office/drawing/2014/main" id="{A4166CA3-223A-416E-BCB5-F71CE3F36638}"/>
              </a:ext>
            </a:extLst>
          </xdr:cNvPr>
          <xdr:cNvSpPr/>
        </xdr:nvSpPr>
        <xdr:spPr>
          <a:xfrm>
            <a:off x="558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8" name="$B$1">
            <a:extLst>
              <a:ext uri="{FF2B5EF4-FFF2-40B4-BE49-F238E27FC236}">
                <a16:creationId xmlns:a16="http://schemas.microsoft.com/office/drawing/2014/main" id="{8D232456-322A-4769-B195-6AE13C624673}"/>
              </a:ext>
            </a:extLst>
          </xdr:cNvPr>
          <xdr:cNvSpPr/>
        </xdr:nvSpPr>
        <xdr:spPr>
          <a:xfrm>
            <a:off x="609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39" name="$B$1">
            <a:extLst>
              <a:ext uri="{FF2B5EF4-FFF2-40B4-BE49-F238E27FC236}">
                <a16:creationId xmlns:a16="http://schemas.microsoft.com/office/drawing/2014/main" id="{2141BE51-EBB8-4C92-88F1-6E5216C00CD7}"/>
              </a:ext>
            </a:extLst>
          </xdr:cNvPr>
          <xdr:cNvSpPr/>
        </xdr:nvSpPr>
        <xdr:spPr>
          <a:xfrm>
            <a:off x="622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0" name="$B$1">
            <a:extLst>
              <a:ext uri="{FF2B5EF4-FFF2-40B4-BE49-F238E27FC236}">
                <a16:creationId xmlns:a16="http://schemas.microsoft.com/office/drawing/2014/main" id="{A64B34C6-840B-48F3-83F8-0628D99DB404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1" name="$B$1">
            <a:extLst>
              <a:ext uri="{FF2B5EF4-FFF2-40B4-BE49-F238E27FC236}">
                <a16:creationId xmlns:a16="http://schemas.microsoft.com/office/drawing/2014/main" id="{455EACDD-AF0A-4BE8-8086-3040D8CBD3D5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2" name="$B$1">
            <a:extLst>
              <a:ext uri="{FF2B5EF4-FFF2-40B4-BE49-F238E27FC236}">
                <a16:creationId xmlns:a16="http://schemas.microsoft.com/office/drawing/2014/main" id="{3119ED10-3084-4CD3-BF73-9C88F0C3B21B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3" name="$B$1">
            <a:extLst>
              <a:ext uri="{FF2B5EF4-FFF2-40B4-BE49-F238E27FC236}">
                <a16:creationId xmlns:a16="http://schemas.microsoft.com/office/drawing/2014/main" id="{BEF8BCB1-8A42-40B2-8791-A64D3BAE322F}"/>
              </a:ext>
            </a:extLst>
          </xdr:cNvPr>
          <xdr:cNvSpPr/>
        </xdr:nvSpPr>
        <xdr:spPr>
          <a:xfrm>
            <a:off x="685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4" name="$B$1">
            <a:extLst>
              <a:ext uri="{FF2B5EF4-FFF2-40B4-BE49-F238E27FC236}">
                <a16:creationId xmlns:a16="http://schemas.microsoft.com/office/drawing/2014/main" id="{5FE41FBD-48A2-4B91-8EC1-A73C8C36C743}"/>
              </a:ext>
            </a:extLst>
          </xdr:cNvPr>
          <xdr:cNvSpPr/>
        </xdr:nvSpPr>
        <xdr:spPr>
          <a:xfrm>
            <a:off x="711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5" name="$B$1">
            <a:extLst>
              <a:ext uri="{FF2B5EF4-FFF2-40B4-BE49-F238E27FC236}">
                <a16:creationId xmlns:a16="http://schemas.microsoft.com/office/drawing/2014/main" id="{22E1ADA4-79F4-4730-97D0-2585859E81B1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6" name="$B$1">
            <a:extLst>
              <a:ext uri="{FF2B5EF4-FFF2-40B4-BE49-F238E27FC236}">
                <a16:creationId xmlns:a16="http://schemas.microsoft.com/office/drawing/2014/main" id="{6FB5217B-49F7-40F8-B050-F6F7207448FB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7" name="$B$1">
            <a:extLst>
              <a:ext uri="{FF2B5EF4-FFF2-40B4-BE49-F238E27FC236}">
                <a16:creationId xmlns:a16="http://schemas.microsoft.com/office/drawing/2014/main" id="{52224687-C18B-4C03-AC84-E3D8863106FA}"/>
              </a:ext>
            </a:extLst>
          </xdr:cNvPr>
          <xdr:cNvSpPr/>
        </xdr:nvSpPr>
        <xdr:spPr>
          <a:xfrm>
            <a:off x="774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8" name="$B$1">
            <a:extLst>
              <a:ext uri="{FF2B5EF4-FFF2-40B4-BE49-F238E27FC236}">
                <a16:creationId xmlns:a16="http://schemas.microsoft.com/office/drawing/2014/main" id="{23CB5A98-08AA-4E4F-B071-563F3269D331}"/>
              </a:ext>
            </a:extLst>
          </xdr:cNvPr>
          <xdr:cNvSpPr/>
        </xdr:nvSpPr>
        <xdr:spPr>
          <a:xfrm>
            <a:off x="812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49" name="$B$1">
            <a:extLst>
              <a:ext uri="{FF2B5EF4-FFF2-40B4-BE49-F238E27FC236}">
                <a16:creationId xmlns:a16="http://schemas.microsoft.com/office/drawing/2014/main" id="{8E8B3D91-9A5C-42E4-99AC-C0A473C5987F}"/>
              </a:ext>
            </a:extLst>
          </xdr:cNvPr>
          <xdr:cNvSpPr/>
        </xdr:nvSpPr>
        <xdr:spPr>
          <a:xfrm>
            <a:off x="825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0" name="$B$1">
            <a:extLst>
              <a:ext uri="{FF2B5EF4-FFF2-40B4-BE49-F238E27FC236}">
                <a16:creationId xmlns:a16="http://schemas.microsoft.com/office/drawing/2014/main" id="{196C4357-4015-4E02-9AC3-15959BA85590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1" name="$B$1">
            <a:extLst>
              <a:ext uri="{FF2B5EF4-FFF2-40B4-BE49-F238E27FC236}">
                <a16:creationId xmlns:a16="http://schemas.microsoft.com/office/drawing/2014/main" id="{4DD0472B-27E4-4E30-96D3-0EF188B998C2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2" name="$B$1">
            <a:extLst>
              <a:ext uri="{FF2B5EF4-FFF2-40B4-BE49-F238E27FC236}">
                <a16:creationId xmlns:a16="http://schemas.microsoft.com/office/drawing/2014/main" id="{44B1DCDB-ED2E-49E6-AEDC-F7EEB7E9D18F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3" name="$B$1">
            <a:extLst>
              <a:ext uri="{FF2B5EF4-FFF2-40B4-BE49-F238E27FC236}">
                <a16:creationId xmlns:a16="http://schemas.microsoft.com/office/drawing/2014/main" id="{360BB038-5C1E-407D-B77E-EDBFCCC15B7A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4" name="$B$1">
            <a:extLst>
              <a:ext uri="{FF2B5EF4-FFF2-40B4-BE49-F238E27FC236}">
                <a16:creationId xmlns:a16="http://schemas.microsoft.com/office/drawing/2014/main" id="{442A7671-9A22-461F-B977-56789DFAE3DF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5" name="$B$1">
            <a:extLst>
              <a:ext uri="{FF2B5EF4-FFF2-40B4-BE49-F238E27FC236}">
                <a16:creationId xmlns:a16="http://schemas.microsoft.com/office/drawing/2014/main" id="{DDE98BD5-A0ED-4C39-9B66-3C51883E1793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6" name="$B$1">
            <a:extLst>
              <a:ext uri="{FF2B5EF4-FFF2-40B4-BE49-F238E27FC236}">
                <a16:creationId xmlns:a16="http://schemas.microsoft.com/office/drawing/2014/main" id="{74672388-BE8B-45F0-9727-3349EAD358AE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7" name="$B$1">
            <a:extLst>
              <a:ext uri="{FF2B5EF4-FFF2-40B4-BE49-F238E27FC236}">
                <a16:creationId xmlns:a16="http://schemas.microsoft.com/office/drawing/2014/main" id="{5338C44B-FEB6-4FBE-9BD0-E186CFDB7A02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8" name="$B$1">
            <a:extLst>
              <a:ext uri="{FF2B5EF4-FFF2-40B4-BE49-F238E27FC236}">
                <a16:creationId xmlns:a16="http://schemas.microsoft.com/office/drawing/2014/main" id="{94A3A166-DAE6-4C14-B7B7-AFF2C6E2B4AD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59" name="$B$1">
            <a:extLst>
              <a:ext uri="{FF2B5EF4-FFF2-40B4-BE49-F238E27FC236}">
                <a16:creationId xmlns:a16="http://schemas.microsoft.com/office/drawing/2014/main" id="{D942BB47-379B-4AAF-A500-4612356E6910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0" name="$B$1">
            <a:extLst>
              <a:ext uri="{FF2B5EF4-FFF2-40B4-BE49-F238E27FC236}">
                <a16:creationId xmlns:a16="http://schemas.microsoft.com/office/drawing/2014/main" id="{AAD005DC-93A7-4B0B-AD7A-5D7C30A00E28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1" name="$B$1">
            <a:extLst>
              <a:ext uri="{FF2B5EF4-FFF2-40B4-BE49-F238E27FC236}">
                <a16:creationId xmlns:a16="http://schemas.microsoft.com/office/drawing/2014/main" id="{06A4DA44-DF3C-428E-A44A-0FEC017D6AB9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2" name="$B$1">
            <a:extLst>
              <a:ext uri="{FF2B5EF4-FFF2-40B4-BE49-F238E27FC236}">
                <a16:creationId xmlns:a16="http://schemas.microsoft.com/office/drawing/2014/main" id="{86D302B5-58FD-4807-A3BA-9D786E994E46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3" name="$B$1">
            <a:extLst>
              <a:ext uri="{FF2B5EF4-FFF2-40B4-BE49-F238E27FC236}">
                <a16:creationId xmlns:a16="http://schemas.microsoft.com/office/drawing/2014/main" id="{0D81856F-E364-48D4-AEC7-B92C2AA21323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4" name="$B$1">
            <a:extLst>
              <a:ext uri="{FF2B5EF4-FFF2-40B4-BE49-F238E27FC236}">
                <a16:creationId xmlns:a16="http://schemas.microsoft.com/office/drawing/2014/main" id="{C95CBB9B-21B5-4B6E-98D4-E94F52C4B280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5" name="$B$1">
            <a:extLst>
              <a:ext uri="{FF2B5EF4-FFF2-40B4-BE49-F238E27FC236}">
                <a16:creationId xmlns:a16="http://schemas.microsoft.com/office/drawing/2014/main" id="{6EE91348-909B-4190-8612-49EF2117EDE4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6" name="$B$1">
            <a:extLst>
              <a:ext uri="{FF2B5EF4-FFF2-40B4-BE49-F238E27FC236}">
                <a16:creationId xmlns:a16="http://schemas.microsoft.com/office/drawing/2014/main" id="{1C38BF5E-BE69-4437-96AE-D14E000C2351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7" name="$B$1">
            <a:extLst>
              <a:ext uri="{FF2B5EF4-FFF2-40B4-BE49-F238E27FC236}">
                <a16:creationId xmlns:a16="http://schemas.microsoft.com/office/drawing/2014/main" id="{EFCCDE5A-49F3-4E20-9FC4-6B083F96E5AB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8" name="$B$1">
            <a:extLst>
              <a:ext uri="{FF2B5EF4-FFF2-40B4-BE49-F238E27FC236}">
                <a16:creationId xmlns:a16="http://schemas.microsoft.com/office/drawing/2014/main" id="{95CF8AED-F560-4AFD-8335-BA08CBE5FE6A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69" name="$B$1">
            <a:extLst>
              <a:ext uri="{FF2B5EF4-FFF2-40B4-BE49-F238E27FC236}">
                <a16:creationId xmlns:a16="http://schemas.microsoft.com/office/drawing/2014/main" id="{10873447-6974-428B-8315-CD1AE1300CA1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0" name="$B$1">
            <a:extLst>
              <a:ext uri="{FF2B5EF4-FFF2-40B4-BE49-F238E27FC236}">
                <a16:creationId xmlns:a16="http://schemas.microsoft.com/office/drawing/2014/main" id="{ACEC93B4-209F-4515-ACC1-72430A4D377B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1" name="$B$1">
            <a:extLst>
              <a:ext uri="{FF2B5EF4-FFF2-40B4-BE49-F238E27FC236}">
                <a16:creationId xmlns:a16="http://schemas.microsoft.com/office/drawing/2014/main" id="{3D9D9133-6AC9-46F8-B112-9D48BBFAD3F2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2" name="$B$1">
            <a:extLst>
              <a:ext uri="{FF2B5EF4-FFF2-40B4-BE49-F238E27FC236}">
                <a16:creationId xmlns:a16="http://schemas.microsoft.com/office/drawing/2014/main" id="{24BCE020-9893-491A-A18E-C0BAA3AEBE84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3" name="$B$1">
            <a:extLst>
              <a:ext uri="{FF2B5EF4-FFF2-40B4-BE49-F238E27FC236}">
                <a16:creationId xmlns:a16="http://schemas.microsoft.com/office/drawing/2014/main" id="{EEA175CD-718D-4288-AFA2-11650B282AD0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4" name="$B$1">
            <a:extLst>
              <a:ext uri="{FF2B5EF4-FFF2-40B4-BE49-F238E27FC236}">
                <a16:creationId xmlns:a16="http://schemas.microsoft.com/office/drawing/2014/main" id="{C81EEB4D-D815-4F4D-A2E9-97F4D89B6ABB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5" name="$B$1">
            <a:extLst>
              <a:ext uri="{FF2B5EF4-FFF2-40B4-BE49-F238E27FC236}">
                <a16:creationId xmlns:a16="http://schemas.microsoft.com/office/drawing/2014/main" id="{03D6F8C0-1252-4C25-912A-D5613D2CB7AE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6" name="$B$1">
            <a:extLst>
              <a:ext uri="{FF2B5EF4-FFF2-40B4-BE49-F238E27FC236}">
                <a16:creationId xmlns:a16="http://schemas.microsoft.com/office/drawing/2014/main" id="{8B1116F8-4426-4DE9-9CCC-1D34824DBEEB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7" name="$B$1">
            <a:extLst>
              <a:ext uri="{FF2B5EF4-FFF2-40B4-BE49-F238E27FC236}">
                <a16:creationId xmlns:a16="http://schemas.microsoft.com/office/drawing/2014/main" id="{F7173522-00AD-4695-9115-7634F5AE0B30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8" name="$B$1">
            <a:extLst>
              <a:ext uri="{FF2B5EF4-FFF2-40B4-BE49-F238E27FC236}">
                <a16:creationId xmlns:a16="http://schemas.microsoft.com/office/drawing/2014/main" id="{7C8DEF9F-5048-43A7-B959-92ACDFAEE52E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79" name="$B$1">
            <a:extLst>
              <a:ext uri="{FF2B5EF4-FFF2-40B4-BE49-F238E27FC236}">
                <a16:creationId xmlns:a16="http://schemas.microsoft.com/office/drawing/2014/main" id="{A8FE7717-CD3C-4E16-89FB-40FDD2477750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0" name="$B$1">
            <a:extLst>
              <a:ext uri="{FF2B5EF4-FFF2-40B4-BE49-F238E27FC236}">
                <a16:creationId xmlns:a16="http://schemas.microsoft.com/office/drawing/2014/main" id="{B5F0962F-D3F6-4805-B1FE-385E38FCCA1C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1" name="$B$1">
            <a:extLst>
              <a:ext uri="{FF2B5EF4-FFF2-40B4-BE49-F238E27FC236}">
                <a16:creationId xmlns:a16="http://schemas.microsoft.com/office/drawing/2014/main" id="{FB8ED821-0D16-4A91-9EE1-E77AAD9D3865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2" name="$B$1">
            <a:extLst>
              <a:ext uri="{FF2B5EF4-FFF2-40B4-BE49-F238E27FC236}">
                <a16:creationId xmlns:a16="http://schemas.microsoft.com/office/drawing/2014/main" id="{970BD30E-AE85-4298-B38A-C7EB74033FC0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3" name="$B$1">
            <a:extLst>
              <a:ext uri="{FF2B5EF4-FFF2-40B4-BE49-F238E27FC236}">
                <a16:creationId xmlns:a16="http://schemas.microsoft.com/office/drawing/2014/main" id="{1C48DBB5-EE8D-4175-A33B-030767329032}"/>
              </a:ext>
            </a:extLst>
          </xdr:cNvPr>
          <xdr:cNvSpPr/>
        </xdr:nvSpPr>
        <xdr:spPr>
          <a:xfrm>
            <a:off x="495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4" name="$B$1">
            <a:extLst>
              <a:ext uri="{FF2B5EF4-FFF2-40B4-BE49-F238E27FC236}">
                <a16:creationId xmlns:a16="http://schemas.microsoft.com/office/drawing/2014/main" id="{F20F5B21-F0AF-4D22-8BE9-A87B08ADC822}"/>
              </a:ext>
            </a:extLst>
          </xdr:cNvPr>
          <xdr:cNvSpPr/>
        </xdr:nvSpPr>
        <xdr:spPr>
          <a:xfrm>
            <a:off x="508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5" name="$B$1">
            <a:extLst>
              <a:ext uri="{FF2B5EF4-FFF2-40B4-BE49-F238E27FC236}">
                <a16:creationId xmlns:a16="http://schemas.microsoft.com/office/drawing/2014/main" id="{B961C32D-DF62-4C3F-B32D-8BF644CD1BC3}"/>
              </a:ext>
            </a:extLst>
          </xdr:cNvPr>
          <xdr:cNvSpPr/>
        </xdr:nvSpPr>
        <xdr:spPr>
          <a:xfrm>
            <a:off x="520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6" name="$B$1">
            <a:extLst>
              <a:ext uri="{FF2B5EF4-FFF2-40B4-BE49-F238E27FC236}">
                <a16:creationId xmlns:a16="http://schemas.microsoft.com/office/drawing/2014/main" id="{8255C318-4639-441B-89D5-A23A384FAC88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7" name="$B$1">
            <a:extLst>
              <a:ext uri="{FF2B5EF4-FFF2-40B4-BE49-F238E27FC236}">
                <a16:creationId xmlns:a16="http://schemas.microsoft.com/office/drawing/2014/main" id="{0421BBCB-A330-4ADB-87FA-98D13B8A5FD1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8" name="$B$1">
            <a:extLst>
              <a:ext uri="{FF2B5EF4-FFF2-40B4-BE49-F238E27FC236}">
                <a16:creationId xmlns:a16="http://schemas.microsoft.com/office/drawing/2014/main" id="{B17F935D-CF39-4FD0-988D-C962ABDE27C7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89" name="$B$1">
            <a:extLst>
              <a:ext uri="{FF2B5EF4-FFF2-40B4-BE49-F238E27FC236}">
                <a16:creationId xmlns:a16="http://schemas.microsoft.com/office/drawing/2014/main" id="{1D96D452-4EC0-47F9-888D-794BB608EF8D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0" name="$B$1">
            <a:extLst>
              <a:ext uri="{FF2B5EF4-FFF2-40B4-BE49-F238E27FC236}">
                <a16:creationId xmlns:a16="http://schemas.microsoft.com/office/drawing/2014/main" id="{E73B1B27-1041-4850-A30D-DFACA78173DE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1" name="$B$1">
            <a:extLst>
              <a:ext uri="{FF2B5EF4-FFF2-40B4-BE49-F238E27FC236}">
                <a16:creationId xmlns:a16="http://schemas.microsoft.com/office/drawing/2014/main" id="{E8099566-1878-47C8-86B7-B70F83F25BB9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2" name="$B$1">
            <a:extLst>
              <a:ext uri="{FF2B5EF4-FFF2-40B4-BE49-F238E27FC236}">
                <a16:creationId xmlns:a16="http://schemas.microsoft.com/office/drawing/2014/main" id="{C1F36B0D-C03A-4FB6-B495-B8CAC5C4A8D8}"/>
              </a:ext>
            </a:extLst>
          </xdr:cNvPr>
          <xdr:cNvSpPr/>
        </xdr:nvSpPr>
        <xdr:spPr>
          <a:xfrm>
            <a:off x="762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3" name="$B$1">
            <a:extLst>
              <a:ext uri="{FF2B5EF4-FFF2-40B4-BE49-F238E27FC236}">
                <a16:creationId xmlns:a16="http://schemas.microsoft.com/office/drawing/2014/main" id="{CFDCF6BB-250E-4ED5-BD22-03FA02796B44}"/>
              </a:ext>
            </a:extLst>
          </xdr:cNvPr>
          <xdr:cNvSpPr/>
        </xdr:nvSpPr>
        <xdr:spPr>
          <a:xfrm>
            <a:off x="787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4" name="$B$1">
            <a:extLst>
              <a:ext uri="{FF2B5EF4-FFF2-40B4-BE49-F238E27FC236}">
                <a16:creationId xmlns:a16="http://schemas.microsoft.com/office/drawing/2014/main" id="{3A250F93-64FD-4C07-8067-FD6561262C98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5" name="$B$1">
            <a:extLst>
              <a:ext uri="{FF2B5EF4-FFF2-40B4-BE49-F238E27FC236}">
                <a16:creationId xmlns:a16="http://schemas.microsoft.com/office/drawing/2014/main" id="{B147E213-2386-4048-821F-59058AE3EEBC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6" name="$B$1">
            <a:extLst>
              <a:ext uri="{FF2B5EF4-FFF2-40B4-BE49-F238E27FC236}">
                <a16:creationId xmlns:a16="http://schemas.microsoft.com/office/drawing/2014/main" id="{CD8C0206-5957-4254-B19B-F0F5EE676A48}"/>
              </a:ext>
            </a:extLst>
          </xdr:cNvPr>
          <xdr:cNvSpPr/>
        </xdr:nvSpPr>
        <xdr:spPr>
          <a:xfrm>
            <a:off x="825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7" name="$B$1">
            <a:extLst>
              <a:ext uri="{FF2B5EF4-FFF2-40B4-BE49-F238E27FC236}">
                <a16:creationId xmlns:a16="http://schemas.microsoft.com/office/drawing/2014/main" id="{CD31DB50-BCBF-4772-B6E2-3CC1720A1BF4}"/>
              </a:ext>
            </a:extLst>
          </xdr:cNvPr>
          <xdr:cNvSpPr/>
        </xdr:nvSpPr>
        <xdr:spPr>
          <a:xfrm>
            <a:off x="838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8" name="$B$1">
            <a:extLst>
              <a:ext uri="{FF2B5EF4-FFF2-40B4-BE49-F238E27FC236}">
                <a16:creationId xmlns:a16="http://schemas.microsoft.com/office/drawing/2014/main" id="{9CF6E59B-D53A-458D-9FD8-C63922ABAB43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99" name="$B$1">
            <a:extLst>
              <a:ext uri="{FF2B5EF4-FFF2-40B4-BE49-F238E27FC236}">
                <a16:creationId xmlns:a16="http://schemas.microsoft.com/office/drawing/2014/main" id="{9C09F10A-C188-48D5-B568-99F4AC194D29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0" name="$B$1">
            <a:extLst>
              <a:ext uri="{FF2B5EF4-FFF2-40B4-BE49-F238E27FC236}">
                <a16:creationId xmlns:a16="http://schemas.microsoft.com/office/drawing/2014/main" id="{2F7342C7-966E-4A91-8B78-48DC8DC46D51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1" name="$B$1">
            <a:extLst>
              <a:ext uri="{FF2B5EF4-FFF2-40B4-BE49-F238E27FC236}">
                <a16:creationId xmlns:a16="http://schemas.microsoft.com/office/drawing/2014/main" id="{188CCFA7-C698-4644-BAB5-EA160B8A8B9D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2" name="$B$1">
            <a:extLst>
              <a:ext uri="{FF2B5EF4-FFF2-40B4-BE49-F238E27FC236}">
                <a16:creationId xmlns:a16="http://schemas.microsoft.com/office/drawing/2014/main" id="{D401A708-2935-496D-9DF9-F7227F742F1C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3" name="$B$1">
            <a:extLst>
              <a:ext uri="{FF2B5EF4-FFF2-40B4-BE49-F238E27FC236}">
                <a16:creationId xmlns:a16="http://schemas.microsoft.com/office/drawing/2014/main" id="{59AE3D98-A25F-43D5-BAA8-846A83D47DB5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4" name="$B$1">
            <a:extLst>
              <a:ext uri="{FF2B5EF4-FFF2-40B4-BE49-F238E27FC236}">
                <a16:creationId xmlns:a16="http://schemas.microsoft.com/office/drawing/2014/main" id="{B76EC8B8-0035-4929-811C-E8F504A4C47A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5" name="$B$1">
            <a:extLst>
              <a:ext uri="{FF2B5EF4-FFF2-40B4-BE49-F238E27FC236}">
                <a16:creationId xmlns:a16="http://schemas.microsoft.com/office/drawing/2014/main" id="{BD02887F-6EE7-4C31-ABD5-E93D8CD17516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6" name="$B$1">
            <a:extLst>
              <a:ext uri="{FF2B5EF4-FFF2-40B4-BE49-F238E27FC236}">
                <a16:creationId xmlns:a16="http://schemas.microsoft.com/office/drawing/2014/main" id="{E64330AA-9A42-4558-B2D8-D27047435FEA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7" name="$B$1">
            <a:extLst>
              <a:ext uri="{FF2B5EF4-FFF2-40B4-BE49-F238E27FC236}">
                <a16:creationId xmlns:a16="http://schemas.microsoft.com/office/drawing/2014/main" id="{106017DC-6381-4F30-A8E4-DAE3F9EF66E5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8" name="$B$1">
            <a:extLst>
              <a:ext uri="{FF2B5EF4-FFF2-40B4-BE49-F238E27FC236}">
                <a16:creationId xmlns:a16="http://schemas.microsoft.com/office/drawing/2014/main" id="{BE68A168-5DD0-4707-B642-67A68EAB24E0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09" name="$B$1">
            <a:extLst>
              <a:ext uri="{FF2B5EF4-FFF2-40B4-BE49-F238E27FC236}">
                <a16:creationId xmlns:a16="http://schemas.microsoft.com/office/drawing/2014/main" id="{1B6EB990-3D44-4F90-87CD-439578C8A7F8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0" name="$B$1">
            <a:extLst>
              <a:ext uri="{FF2B5EF4-FFF2-40B4-BE49-F238E27FC236}">
                <a16:creationId xmlns:a16="http://schemas.microsoft.com/office/drawing/2014/main" id="{2672639A-3577-4219-817A-86F3F1E84956}"/>
              </a:ext>
            </a:extLst>
          </xdr:cNvPr>
          <xdr:cNvSpPr/>
        </xdr:nvSpPr>
        <xdr:spPr>
          <a:xfrm>
            <a:off x="12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1" name="$B$1">
            <a:extLst>
              <a:ext uri="{FF2B5EF4-FFF2-40B4-BE49-F238E27FC236}">
                <a16:creationId xmlns:a16="http://schemas.microsoft.com/office/drawing/2014/main" id="{AD2F9959-F326-41BB-A2CA-5A314A318521}"/>
              </a:ext>
            </a:extLst>
          </xdr:cNvPr>
          <xdr:cNvSpPr/>
        </xdr:nvSpPr>
        <xdr:spPr>
          <a:xfrm>
            <a:off x="25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2" name="$B$1">
            <a:extLst>
              <a:ext uri="{FF2B5EF4-FFF2-40B4-BE49-F238E27FC236}">
                <a16:creationId xmlns:a16="http://schemas.microsoft.com/office/drawing/2014/main" id="{BDF495E8-A732-4300-9158-66B5429C9D62}"/>
              </a:ext>
            </a:extLst>
          </xdr:cNvPr>
          <xdr:cNvSpPr/>
        </xdr:nvSpPr>
        <xdr:spPr>
          <a:xfrm>
            <a:off x="38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3" name="$B$1">
            <a:extLst>
              <a:ext uri="{FF2B5EF4-FFF2-40B4-BE49-F238E27FC236}">
                <a16:creationId xmlns:a16="http://schemas.microsoft.com/office/drawing/2014/main" id="{7ABF1BEE-09A6-4AD0-8180-438E6F993BB5}"/>
              </a:ext>
            </a:extLst>
          </xdr:cNvPr>
          <xdr:cNvSpPr/>
        </xdr:nvSpPr>
        <xdr:spPr>
          <a:xfrm>
            <a:off x="50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4" name="$B$1">
            <a:extLst>
              <a:ext uri="{FF2B5EF4-FFF2-40B4-BE49-F238E27FC236}">
                <a16:creationId xmlns:a16="http://schemas.microsoft.com/office/drawing/2014/main" id="{1747825A-C115-4B30-8583-10CA7A469F06}"/>
              </a:ext>
            </a:extLst>
          </xdr:cNvPr>
          <xdr:cNvSpPr/>
        </xdr:nvSpPr>
        <xdr:spPr>
          <a:xfrm>
            <a:off x="63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5" name="$B$1">
            <a:extLst>
              <a:ext uri="{FF2B5EF4-FFF2-40B4-BE49-F238E27FC236}">
                <a16:creationId xmlns:a16="http://schemas.microsoft.com/office/drawing/2014/main" id="{7B9C7D88-9837-468E-8120-B9FF85456274}"/>
              </a:ext>
            </a:extLst>
          </xdr:cNvPr>
          <xdr:cNvSpPr/>
        </xdr:nvSpPr>
        <xdr:spPr>
          <a:xfrm>
            <a:off x="76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6" name="$B$1">
            <a:extLst>
              <a:ext uri="{FF2B5EF4-FFF2-40B4-BE49-F238E27FC236}">
                <a16:creationId xmlns:a16="http://schemas.microsoft.com/office/drawing/2014/main" id="{08F66146-078F-48F2-B22F-4C7B42BB4B0D}"/>
              </a:ext>
            </a:extLst>
          </xdr:cNvPr>
          <xdr:cNvSpPr/>
        </xdr:nvSpPr>
        <xdr:spPr>
          <a:xfrm>
            <a:off x="88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7" name="$B$1">
            <a:extLst>
              <a:ext uri="{FF2B5EF4-FFF2-40B4-BE49-F238E27FC236}">
                <a16:creationId xmlns:a16="http://schemas.microsoft.com/office/drawing/2014/main" id="{37F69267-AC5E-4260-820A-28D66E41A052}"/>
              </a:ext>
            </a:extLst>
          </xdr:cNvPr>
          <xdr:cNvSpPr/>
        </xdr:nvSpPr>
        <xdr:spPr>
          <a:xfrm>
            <a:off x="101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8" name="$B$1">
            <a:extLst>
              <a:ext uri="{FF2B5EF4-FFF2-40B4-BE49-F238E27FC236}">
                <a16:creationId xmlns:a16="http://schemas.microsoft.com/office/drawing/2014/main" id="{B3AE915C-6064-4551-AD41-2E6994D550C7}"/>
              </a:ext>
            </a:extLst>
          </xdr:cNvPr>
          <xdr:cNvSpPr/>
        </xdr:nvSpPr>
        <xdr:spPr>
          <a:xfrm>
            <a:off x="127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19" name="$B$1">
            <a:extLst>
              <a:ext uri="{FF2B5EF4-FFF2-40B4-BE49-F238E27FC236}">
                <a16:creationId xmlns:a16="http://schemas.microsoft.com/office/drawing/2014/main" id="{07DB8198-0F0E-4A77-9628-658BB6DECBAD}"/>
              </a:ext>
            </a:extLst>
          </xdr:cNvPr>
          <xdr:cNvSpPr/>
        </xdr:nvSpPr>
        <xdr:spPr>
          <a:xfrm>
            <a:off x="152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0" name="$B$1">
            <a:extLst>
              <a:ext uri="{FF2B5EF4-FFF2-40B4-BE49-F238E27FC236}">
                <a16:creationId xmlns:a16="http://schemas.microsoft.com/office/drawing/2014/main" id="{C8B320EC-6483-488A-A99B-6EA632232A70}"/>
              </a:ext>
            </a:extLst>
          </xdr:cNvPr>
          <xdr:cNvSpPr/>
        </xdr:nvSpPr>
        <xdr:spPr>
          <a:xfrm>
            <a:off x="177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1" name="$B$1">
            <a:extLst>
              <a:ext uri="{FF2B5EF4-FFF2-40B4-BE49-F238E27FC236}">
                <a16:creationId xmlns:a16="http://schemas.microsoft.com/office/drawing/2014/main" id="{02F4E49E-E843-4EA4-B07E-1C7F7B6E363A}"/>
              </a:ext>
            </a:extLst>
          </xdr:cNvPr>
          <xdr:cNvSpPr/>
        </xdr:nvSpPr>
        <xdr:spPr>
          <a:xfrm>
            <a:off x="228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2" name="$B$1">
            <a:extLst>
              <a:ext uri="{FF2B5EF4-FFF2-40B4-BE49-F238E27FC236}">
                <a16:creationId xmlns:a16="http://schemas.microsoft.com/office/drawing/2014/main" id="{7B38E730-CFC4-4904-BF97-79230B6EBEEE}"/>
              </a:ext>
            </a:extLst>
          </xdr:cNvPr>
          <xdr:cNvSpPr/>
        </xdr:nvSpPr>
        <xdr:spPr>
          <a:xfrm>
            <a:off x="254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3" name="$B$1">
            <a:extLst>
              <a:ext uri="{FF2B5EF4-FFF2-40B4-BE49-F238E27FC236}">
                <a16:creationId xmlns:a16="http://schemas.microsoft.com/office/drawing/2014/main" id="{468847A6-A5BC-4DC3-9670-DE84AA66CB57}"/>
              </a:ext>
            </a:extLst>
          </xdr:cNvPr>
          <xdr:cNvSpPr/>
        </xdr:nvSpPr>
        <xdr:spPr>
          <a:xfrm>
            <a:off x="330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4" name="$B$1">
            <a:extLst>
              <a:ext uri="{FF2B5EF4-FFF2-40B4-BE49-F238E27FC236}">
                <a16:creationId xmlns:a16="http://schemas.microsoft.com/office/drawing/2014/main" id="{9278F91D-9B4F-4FD4-AD96-7512E37F5AA3}"/>
              </a:ext>
            </a:extLst>
          </xdr:cNvPr>
          <xdr:cNvSpPr/>
        </xdr:nvSpPr>
        <xdr:spPr>
          <a:xfrm>
            <a:off x="355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5" name="$B$1">
            <a:extLst>
              <a:ext uri="{FF2B5EF4-FFF2-40B4-BE49-F238E27FC236}">
                <a16:creationId xmlns:a16="http://schemas.microsoft.com/office/drawing/2014/main" id="{7C9A9569-B3C5-4CA2-AE83-E090E47FE5EB}"/>
              </a:ext>
            </a:extLst>
          </xdr:cNvPr>
          <xdr:cNvSpPr/>
        </xdr:nvSpPr>
        <xdr:spPr>
          <a:xfrm>
            <a:off x="444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6" name="$B$1">
            <a:extLst>
              <a:ext uri="{FF2B5EF4-FFF2-40B4-BE49-F238E27FC236}">
                <a16:creationId xmlns:a16="http://schemas.microsoft.com/office/drawing/2014/main" id="{EBDC6B65-B298-4A87-ADB1-BE76A08681BE}"/>
              </a:ext>
            </a:extLst>
          </xdr:cNvPr>
          <xdr:cNvSpPr/>
        </xdr:nvSpPr>
        <xdr:spPr>
          <a:xfrm>
            <a:off x="457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7" name="$B$1">
            <a:extLst>
              <a:ext uri="{FF2B5EF4-FFF2-40B4-BE49-F238E27FC236}">
                <a16:creationId xmlns:a16="http://schemas.microsoft.com/office/drawing/2014/main" id="{E7942736-AF15-4307-8362-0DB4648AD51C}"/>
              </a:ext>
            </a:extLst>
          </xdr:cNvPr>
          <xdr:cNvSpPr/>
        </xdr:nvSpPr>
        <xdr:spPr>
          <a:xfrm>
            <a:off x="495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8" name="$B$1">
            <a:extLst>
              <a:ext uri="{FF2B5EF4-FFF2-40B4-BE49-F238E27FC236}">
                <a16:creationId xmlns:a16="http://schemas.microsoft.com/office/drawing/2014/main" id="{8CB5B554-43A0-476D-A7A8-B45EABC743C8}"/>
              </a:ext>
            </a:extLst>
          </xdr:cNvPr>
          <xdr:cNvSpPr/>
        </xdr:nvSpPr>
        <xdr:spPr>
          <a:xfrm>
            <a:off x="508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29" name="$B$1">
            <a:extLst>
              <a:ext uri="{FF2B5EF4-FFF2-40B4-BE49-F238E27FC236}">
                <a16:creationId xmlns:a16="http://schemas.microsoft.com/office/drawing/2014/main" id="{47CB3301-836D-4678-BC36-F4481B9EB9AA}"/>
              </a:ext>
            </a:extLst>
          </xdr:cNvPr>
          <xdr:cNvSpPr/>
        </xdr:nvSpPr>
        <xdr:spPr>
          <a:xfrm>
            <a:off x="546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0" name="$B$1">
            <a:extLst>
              <a:ext uri="{FF2B5EF4-FFF2-40B4-BE49-F238E27FC236}">
                <a16:creationId xmlns:a16="http://schemas.microsoft.com/office/drawing/2014/main" id="{42854D97-7F34-4127-9CC3-81EFA73DDEFF}"/>
              </a:ext>
            </a:extLst>
          </xdr:cNvPr>
          <xdr:cNvSpPr/>
        </xdr:nvSpPr>
        <xdr:spPr>
          <a:xfrm>
            <a:off x="558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1" name="$B$1">
            <a:extLst>
              <a:ext uri="{FF2B5EF4-FFF2-40B4-BE49-F238E27FC236}">
                <a16:creationId xmlns:a16="http://schemas.microsoft.com/office/drawing/2014/main" id="{3F6A5E69-1358-40E8-8679-AF9FD7B060F8}"/>
              </a:ext>
            </a:extLst>
          </xdr:cNvPr>
          <xdr:cNvSpPr/>
        </xdr:nvSpPr>
        <xdr:spPr>
          <a:xfrm>
            <a:off x="622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2" name="$B$1">
            <a:extLst>
              <a:ext uri="{FF2B5EF4-FFF2-40B4-BE49-F238E27FC236}">
                <a16:creationId xmlns:a16="http://schemas.microsoft.com/office/drawing/2014/main" id="{C976859D-DFE7-46DA-9B79-C252973681E6}"/>
              </a:ext>
            </a:extLst>
          </xdr:cNvPr>
          <xdr:cNvSpPr/>
        </xdr:nvSpPr>
        <xdr:spPr>
          <a:xfrm>
            <a:off x="635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3" name="$B$1">
            <a:extLst>
              <a:ext uri="{FF2B5EF4-FFF2-40B4-BE49-F238E27FC236}">
                <a16:creationId xmlns:a16="http://schemas.microsoft.com/office/drawing/2014/main" id="{D1A9B839-60FB-49CA-BD90-C0088789E2E6}"/>
              </a:ext>
            </a:extLst>
          </xdr:cNvPr>
          <xdr:cNvSpPr/>
        </xdr:nvSpPr>
        <xdr:spPr>
          <a:xfrm>
            <a:off x="660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4" name="$B$1">
            <a:extLst>
              <a:ext uri="{FF2B5EF4-FFF2-40B4-BE49-F238E27FC236}">
                <a16:creationId xmlns:a16="http://schemas.microsoft.com/office/drawing/2014/main" id="{4C2077A0-4301-44C7-96A0-3C2A3D499E8C}"/>
              </a:ext>
            </a:extLst>
          </xdr:cNvPr>
          <xdr:cNvSpPr/>
        </xdr:nvSpPr>
        <xdr:spPr>
          <a:xfrm>
            <a:off x="685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5" name="$B$1">
            <a:extLst>
              <a:ext uri="{FF2B5EF4-FFF2-40B4-BE49-F238E27FC236}">
                <a16:creationId xmlns:a16="http://schemas.microsoft.com/office/drawing/2014/main" id="{B8D56AF5-B959-42D3-AE57-80E6689F7E09}"/>
              </a:ext>
            </a:extLst>
          </xdr:cNvPr>
          <xdr:cNvSpPr/>
        </xdr:nvSpPr>
        <xdr:spPr>
          <a:xfrm>
            <a:off x="749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6" name="$B$1">
            <a:extLst>
              <a:ext uri="{FF2B5EF4-FFF2-40B4-BE49-F238E27FC236}">
                <a16:creationId xmlns:a16="http://schemas.microsoft.com/office/drawing/2014/main" id="{9F3A7E2B-96DC-4C8F-BC6A-AAE24FFA3192}"/>
              </a:ext>
            </a:extLst>
          </xdr:cNvPr>
          <xdr:cNvSpPr/>
        </xdr:nvSpPr>
        <xdr:spPr>
          <a:xfrm>
            <a:off x="762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7" name="$B$1">
            <a:extLst>
              <a:ext uri="{FF2B5EF4-FFF2-40B4-BE49-F238E27FC236}">
                <a16:creationId xmlns:a16="http://schemas.microsoft.com/office/drawing/2014/main" id="{59920E02-8A1C-432F-9303-3FDA8A55D4E2}"/>
              </a:ext>
            </a:extLst>
          </xdr:cNvPr>
          <xdr:cNvSpPr/>
        </xdr:nvSpPr>
        <xdr:spPr>
          <a:xfrm>
            <a:off x="825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8" name="$B$1">
            <a:extLst>
              <a:ext uri="{FF2B5EF4-FFF2-40B4-BE49-F238E27FC236}">
                <a16:creationId xmlns:a16="http://schemas.microsoft.com/office/drawing/2014/main" id="{D2FC80F9-5032-41E4-84D1-0FD13A89A78F}"/>
              </a:ext>
            </a:extLst>
          </xdr:cNvPr>
          <xdr:cNvSpPr/>
        </xdr:nvSpPr>
        <xdr:spPr>
          <a:xfrm>
            <a:off x="838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39" name="$B$1">
            <a:extLst>
              <a:ext uri="{FF2B5EF4-FFF2-40B4-BE49-F238E27FC236}">
                <a16:creationId xmlns:a16="http://schemas.microsoft.com/office/drawing/2014/main" id="{14BA0B31-70D6-42E2-A911-6203CCFC1F8F}"/>
              </a:ext>
            </a:extLst>
          </xdr:cNvPr>
          <xdr:cNvSpPr/>
        </xdr:nvSpPr>
        <xdr:spPr>
          <a:xfrm>
            <a:off x="876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0" name="$B$1">
            <a:extLst>
              <a:ext uri="{FF2B5EF4-FFF2-40B4-BE49-F238E27FC236}">
                <a16:creationId xmlns:a16="http://schemas.microsoft.com/office/drawing/2014/main" id="{3714DFA6-55B0-498A-9C5D-68B2D85C0CB0}"/>
              </a:ext>
            </a:extLst>
          </xdr:cNvPr>
          <xdr:cNvSpPr/>
        </xdr:nvSpPr>
        <xdr:spPr>
          <a:xfrm>
            <a:off x="889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1" name="$B$1">
            <a:extLst>
              <a:ext uri="{FF2B5EF4-FFF2-40B4-BE49-F238E27FC236}">
                <a16:creationId xmlns:a16="http://schemas.microsoft.com/office/drawing/2014/main" id="{75D7C34B-737B-4151-A3B3-87C3E491E5CF}"/>
              </a:ext>
            </a:extLst>
          </xdr:cNvPr>
          <xdr:cNvSpPr/>
        </xdr:nvSpPr>
        <xdr:spPr>
          <a:xfrm>
            <a:off x="901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2" name="$B$1">
            <a:extLst>
              <a:ext uri="{FF2B5EF4-FFF2-40B4-BE49-F238E27FC236}">
                <a16:creationId xmlns:a16="http://schemas.microsoft.com/office/drawing/2014/main" id="{598B5342-7D46-4D89-9741-D6AEAB42A849}"/>
              </a:ext>
            </a:extLst>
          </xdr:cNvPr>
          <xdr:cNvSpPr/>
        </xdr:nvSpPr>
        <xdr:spPr>
          <a:xfrm>
            <a:off x="914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3" name="$B$1">
            <a:extLst>
              <a:ext uri="{FF2B5EF4-FFF2-40B4-BE49-F238E27FC236}">
                <a16:creationId xmlns:a16="http://schemas.microsoft.com/office/drawing/2014/main" id="{BF078628-289F-48F6-85EB-4763C7708AFA}"/>
              </a:ext>
            </a:extLst>
          </xdr:cNvPr>
          <xdr:cNvSpPr/>
        </xdr:nvSpPr>
        <xdr:spPr>
          <a:xfrm>
            <a:off x="927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4" name="$B$1">
            <a:extLst>
              <a:ext uri="{FF2B5EF4-FFF2-40B4-BE49-F238E27FC236}">
                <a16:creationId xmlns:a16="http://schemas.microsoft.com/office/drawing/2014/main" id="{50ACC718-0D8E-46A1-8FBA-31EB7449D22B}"/>
              </a:ext>
            </a:extLst>
          </xdr:cNvPr>
          <xdr:cNvSpPr/>
        </xdr:nvSpPr>
        <xdr:spPr>
          <a:xfrm>
            <a:off x="939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5" name="$B$1">
            <a:extLst>
              <a:ext uri="{FF2B5EF4-FFF2-40B4-BE49-F238E27FC236}">
                <a16:creationId xmlns:a16="http://schemas.microsoft.com/office/drawing/2014/main" id="{A82F7394-6AB8-46E1-85D9-5B7E3B68B290}"/>
              </a:ext>
            </a:extLst>
          </xdr:cNvPr>
          <xdr:cNvSpPr/>
        </xdr:nvSpPr>
        <xdr:spPr>
          <a:xfrm>
            <a:off x="952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6" name="$B$1">
            <a:extLst>
              <a:ext uri="{FF2B5EF4-FFF2-40B4-BE49-F238E27FC236}">
                <a16:creationId xmlns:a16="http://schemas.microsoft.com/office/drawing/2014/main" id="{A5AC09AA-4C8D-4272-89B4-EFD42F4C3662}"/>
              </a:ext>
            </a:extLst>
          </xdr:cNvPr>
          <xdr:cNvSpPr/>
        </xdr:nvSpPr>
        <xdr:spPr>
          <a:xfrm>
            <a:off x="977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7" name="$B$1">
            <a:extLst>
              <a:ext uri="{FF2B5EF4-FFF2-40B4-BE49-F238E27FC236}">
                <a16:creationId xmlns:a16="http://schemas.microsoft.com/office/drawing/2014/main" id="{B14AF1DB-0241-45DA-9F5E-EDDABAF69404}"/>
              </a:ext>
            </a:extLst>
          </xdr:cNvPr>
          <xdr:cNvSpPr/>
        </xdr:nvSpPr>
        <xdr:spPr>
          <a:xfrm>
            <a:off x="1028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8" name="$B$1">
            <a:extLst>
              <a:ext uri="{FF2B5EF4-FFF2-40B4-BE49-F238E27FC236}">
                <a16:creationId xmlns:a16="http://schemas.microsoft.com/office/drawing/2014/main" id="{E654052F-DC8E-4678-B5C9-241B5806FA7E}"/>
              </a:ext>
            </a:extLst>
          </xdr:cNvPr>
          <xdr:cNvSpPr/>
        </xdr:nvSpPr>
        <xdr:spPr>
          <a:xfrm>
            <a:off x="1054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49" name="$B$1">
            <a:extLst>
              <a:ext uri="{FF2B5EF4-FFF2-40B4-BE49-F238E27FC236}">
                <a16:creationId xmlns:a16="http://schemas.microsoft.com/office/drawing/2014/main" id="{F8DE7FF5-0BF9-4523-B263-D71BA4D97B53}"/>
              </a:ext>
            </a:extLst>
          </xdr:cNvPr>
          <xdr:cNvSpPr/>
        </xdr:nvSpPr>
        <xdr:spPr>
          <a:xfrm>
            <a:off x="1092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0" name="$B$1">
            <a:extLst>
              <a:ext uri="{FF2B5EF4-FFF2-40B4-BE49-F238E27FC236}">
                <a16:creationId xmlns:a16="http://schemas.microsoft.com/office/drawing/2014/main" id="{BF50CFB5-3708-4E77-A479-B8C626260258}"/>
              </a:ext>
            </a:extLst>
          </xdr:cNvPr>
          <xdr:cNvSpPr/>
        </xdr:nvSpPr>
        <xdr:spPr>
          <a:xfrm>
            <a:off x="12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1" name="$B$1">
            <a:extLst>
              <a:ext uri="{FF2B5EF4-FFF2-40B4-BE49-F238E27FC236}">
                <a16:creationId xmlns:a16="http://schemas.microsoft.com/office/drawing/2014/main" id="{A4F54B67-A155-49C5-8AA3-35089A374D58}"/>
              </a:ext>
            </a:extLst>
          </xdr:cNvPr>
          <xdr:cNvSpPr/>
        </xdr:nvSpPr>
        <xdr:spPr>
          <a:xfrm>
            <a:off x="25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2" name="$B$1">
            <a:extLst>
              <a:ext uri="{FF2B5EF4-FFF2-40B4-BE49-F238E27FC236}">
                <a16:creationId xmlns:a16="http://schemas.microsoft.com/office/drawing/2014/main" id="{C734E948-0E37-45E1-B648-38AB96FF140E}"/>
              </a:ext>
            </a:extLst>
          </xdr:cNvPr>
          <xdr:cNvSpPr/>
        </xdr:nvSpPr>
        <xdr:spPr>
          <a:xfrm>
            <a:off x="38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3" name="$B$1">
            <a:extLst>
              <a:ext uri="{FF2B5EF4-FFF2-40B4-BE49-F238E27FC236}">
                <a16:creationId xmlns:a16="http://schemas.microsoft.com/office/drawing/2014/main" id="{7E3C97F8-5A08-41EE-9DE8-D1B1D33A384C}"/>
              </a:ext>
            </a:extLst>
          </xdr:cNvPr>
          <xdr:cNvSpPr/>
        </xdr:nvSpPr>
        <xdr:spPr>
          <a:xfrm>
            <a:off x="50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4" name="$B$1">
            <a:extLst>
              <a:ext uri="{FF2B5EF4-FFF2-40B4-BE49-F238E27FC236}">
                <a16:creationId xmlns:a16="http://schemas.microsoft.com/office/drawing/2014/main" id="{19BF18EF-07E1-44BC-BE61-A2216D3C0956}"/>
              </a:ext>
            </a:extLst>
          </xdr:cNvPr>
          <xdr:cNvSpPr/>
        </xdr:nvSpPr>
        <xdr:spPr>
          <a:xfrm>
            <a:off x="63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5" name="$B$1">
            <a:extLst>
              <a:ext uri="{FF2B5EF4-FFF2-40B4-BE49-F238E27FC236}">
                <a16:creationId xmlns:a16="http://schemas.microsoft.com/office/drawing/2014/main" id="{358DB061-38A8-48E1-8265-4E99D4CBEB45}"/>
              </a:ext>
            </a:extLst>
          </xdr:cNvPr>
          <xdr:cNvSpPr/>
        </xdr:nvSpPr>
        <xdr:spPr>
          <a:xfrm>
            <a:off x="76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6" name="$B$1">
            <a:extLst>
              <a:ext uri="{FF2B5EF4-FFF2-40B4-BE49-F238E27FC236}">
                <a16:creationId xmlns:a16="http://schemas.microsoft.com/office/drawing/2014/main" id="{09F5F8A0-3580-4C64-AC91-C87438534A6A}"/>
              </a:ext>
            </a:extLst>
          </xdr:cNvPr>
          <xdr:cNvSpPr/>
        </xdr:nvSpPr>
        <xdr:spPr>
          <a:xfrm>
            <a:off x="88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7" name="$B$1">
            <a:extLst>
              <a:ext uri="{FF2B5EF4-FFF2-40B4-BE49-F238E27FC236}">
                <a16:creationId xmlns:a16="http://schemas.microsoft.com/office/drawing/2014/main" id="{4DA6D716-D71E-40D8-B7A6-37C6E77A196A}"/>
              </a:ext>
            </a:extLst>
          </xdr:cNvPr>
          <xdr:cNvSpPr/>
        </xdr:nvSpPr>
        <xdr:spPr>
          <a:xfrm>
            <a:off x="101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8" name="$B$1">
            <a:extLst>
              <a:ext uri="{FF2B5EF4-FFF2-40B4-BE49-F238E27FC236}">
                <a16:creationId xmlns:a16="http://schemas.microsoft.com/office/drawing/2014/main" id="{C2B2FD2B-7930-40EF-A8EF-9CFB406C2EF9}"/>
              </a:ext>
            </a:extLst>
          </xdr:cNvPr>
          <xdr:cNvSpPr/>
        </xdr:nvSpPr>
        <xdr:spPr>
          <a:xfrm>
            <a:off x="127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59" name="$B$1">
            <a:extLst>
              <a:ext uri="{FF2B5EF4-FFF2-40B4-BE49-F238E27FC236}">
                <a16:creationId xmlns:a16="http://schemas.microsoft.com/office/drawing/2014/main" id="{D37780D5-50FB-40EF-979B-FEEDE05D971C}"/>
              </a:ext>
            </a:extLst>
          </xdr:cNvPr>
          <xdr:cNvSpPr/>
        </xdr:nvSpPr>
        <xdr:spPr>
          <a:xfrm>
            <a:off x="152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0" name="$B$1">
            <a:extLst>
              <a:ext uri="{FF2B5EF4-FFF2-40B4-BE49-F238E27FC236}">
                <a16:creationId xmlns:a16="http://schemas.microsoft.com/office/drawing/2014/main" id="{F7C431B7-4A45-40FB-A100-F59B0D95BBED}"/>
              </a:ext>
            </a:extLst>
          </xdr:cNvPr>
          <xdr:cNvSpPr/>
        </xdr:nvSpPr>
        <xdr:spPr>
          <a:xfrm>
            <a:off x="177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1" name="$B$1">
            <a:extLst>
              <a:ext uri="{FF2B5EF4-FFF2-40B4-BE49-F238E27FC236}">
                <a16:creationId xmlns:a16="http://schemas.microsoft.com/office/drawing/2014/main" id="{F3EFAECB-0F52-4C42-9BBA-B443CFC245D3}"/>
              </a:ext>
            </a:extLst>
          </xdr:cNvPr>
          <xdr:cNvSpPr/>
        </xdr:nvSpPr>
        <xdr:spPr>
          <a:xfrm>
            <a:off x="228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2" name="$B$1">
            <a:extLst>
              <a:ext uri="{FF2B5EF4-FFF2-40B4-BE49-F238E27FC236}">
                <a16:creationId xmlns:a16="http://schemas.microsoft.com/office/drawing/2014/main" id="{249F86AE-60ED-4E84-9F2A-CB16267AB4AC}"/>
              </a:ext>
            </a:extLst>
          </xdr:cNvPr>
          <xdr:cNvSpPr/>
        </xdr:nvSpPr>
        <xdr:spPr>
          <a:xfrm>
            <a:off x="2413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3" name="$B$1">
            <a:extLst>
              <a:ext uri="{FF2B5EF4-FFF2-40B4-BE49-F238E27FC236}">
                <a16:creationId xmlns:a16="http://schemas.microsoft.com/office/drawing/2014/main" id="{46EB13FB-2D5E-4FCB-BE9D-E3D9951830CA}"/>
              </a:ext>
            </a:extLst>
          </xdr:cNvPr>
          <xdr:cNvSpPr/>
        </xdr:nvSpPr>
        <xdr:spPr>
          <a:xfrm>
            <a:off x="254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4" name="$B$1">
            <a:extLst>
              <a:ext uri="{FF2B5EF4-FFF2-40B4-BE49-F238E27FC236}">
                <a16:creationId xmlns:a16="http://schemas.microsoft.com/office/drawing/2014/main" id="{3D028BFB-4CB3-45F4-955A-547F22E05870}"/>
              </a:ext>
            </a:extLst>
          </xdr:cNvPr>
          <xdr:cNvSpPr/>
        </xdr:nvSpPr>
        <xdr:spPr>
          <a:xfrm>
            <a:off x="266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5" name="$B$1">
            <a:extLst>
              <a:ext uri="{FF2B5EF4-FFF2-40B4-BE49-F238E27FC236}">
                <a16:creationId xmlns:a16="http://schemas.microsoft.com/office/drawing/2014/main" id="{9EA0B2F0-25CC-44AD-89FD-59EC6EC5C1B5}"/>
              </a:ext>
            </a:extLst>
          </xdr:cNvPr>
          <xdr:cNvSpPr/>
        </xdr:nvSpPr>
        <xdr:spPr>
          <a:xfrm>
            <a:off x="279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6" name="$B$1">
            <a:extLst>
              <a:ext uri="{FF2B5EF4-FFF2-40B4-BE49-F238E27FC236}">
                <a16:creationId xmlns:a16="http://schemas.microsoft.com/office/drawing/2014/main" id="{FE9232E5-137B-42B3-8929-D5E62CA0B9F9}"/>
              </a:ext>
            </a:extLst>
          </xdr:cNvPr>
          <xdr:cNvSpPr/>
        </xdr:nvSpPr>
        <xdr:spPr>
          <a:xfrm>
            <a:off x="304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7" name="$B$1">
            <a:extLst>
              <a:ext uri="{FF2B5EF4-FFF2-40B4-BE49-F238E27FC236}">
                <a16:creationId xmlns:a16="http://schemas.microsoft.com/office/drawing/2014/main" id="{73DA2F4B-257E-458C-9ED9-0F83B502B800}"/>
              </a:ext>
            </a:extLst>
          </xdr:cNvPr>
          <xdr:cNvSpPr/>
        </xdr:nvSpPr>
        <xdr:spPr>
          <a:xfrm>
            <a:off x="355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8" name="$B$1">
            <a:extLst>
              <a:ext uri="{FF2B5EF4-FFF2-40B4-BE49-F238E27FC236}">
                <a16:creationId xmlns:a16="http://schemas.microsoft.com/office/drawing/2014/main" id="{921B396A-422D-468E-8AA8-C264551A457F}"/>
              </a:ext>
            </a:extLst>
          </xdr:cNvPr>
          <xdr:cNvSpPr/>
        </xdr:nvSpPr>
        <xdr:spPr>
          <a:xfrm>
            <a:off x="406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69" name="$B$1">
            <a:extLst>
              <a:ext uri="{FF2B5EF4-FFF2-40B4-BE49-F238E27FC236}">
                <a16:creationId xmlns:a16="http://schemas.microsoft.com/office/drawing/2014/main" id="{3C69AF7F-5EB7-4583-B60B-FD3CC0D6B5A9}"/>
              </a:ext>
            </a:extLst>
          </xdr:cNvPr>
          <xdr:cNvSpPr/>
        </xdr:nvSpPr>
        <xdr:spPr>
          <a:xfrm>
            <a:off x="419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0" name="$B$1">
            <a:extLst>
              <a:ext uri="{FF2B5EF4-FFF2-40B4-BE49-F238E27FC236}">
                <a16:creationId xmlns:a16="http://schemas.microsoft.com/office/drawing/2014/main" id="{C32CD294-20D7-4FB6-8FBC-276A81C28BF2}"/>
              </a:ext>
            </a:extLst>
          </xdr:cNvPr>
          <xdr:cNvSpPr/>
        </xdr:nvSpPr>
        <xdr:spPr>
          <a:xfrm>
            <a:off x="444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1" name="$B$1">
            <a:extLst>
              <a:ext uri="{FF2B5EF4-FFF2-40B4-BE49-F238E27FC236}">
                <a16:creationId xmlns:a16="http://schemas.microsoft.com/office/drawing/2014/main" id="{48B69722-C62F-4CD7-8734-3D34571431CC}"/>
              </a:ext>
            </a:extLst>
          </xdr:cNvPr>
          <xdr:cNvSpPr/>
        </xdr:nvSpPr>
        <xdr:spPr>
          <a:xfrm>
            <a:off x="457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2" name="$B$1">
            <a:extLst>
              <a:ext uri="{FF2B5EF4-FFF2-40B4-BE49-F238E27FC236}">
                <a16:creationId xmlns:a16="http://schemas.microsoft.com/office/drawing/2014/main" id="{02C664D9-51C3-438D-8B8C-3C3A0B4E33EA}"/>
              </a:ext>
            </a:extLst>
          </xdr:cNvPr>
          <xdr:cNvSpPr/>
        </xdr:nvSpPr>
        <xdr:spPr>
          <a:xfrm>
            <a:off x="469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3" name="$B$1">
            <a:extLst>
              <a:ext uri="{FF2B5EF4-FFF2-40B4-BE49-F238E27FC236}">
                <a16:creationId xmlns:a16="http://schemas.microsoft.com/office/drawing/2014/main" id="{0D1DA223-EEB5-4010-AE3C-BB2192C1F023}"/>
              </a:ext>
            </a:extLst>
          </xdr:cNvPr>
          <xdr:cNvSpPr/>
        </xdr:nvSpPr>
        <xdr:spPr>
          <a:xfrm>
            <a:off x="546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4" name="$B$1">
            <a:extLst>
              <a:ext uri="{FF2B5EF4-FFF2-40B4-BE49-F238E27FC236}">
                <a16:creationId xmlns:a16="http://schemas.microsoft.com/office/drawing/2014/main" id="{C069F323-3698-4021-A0C6-E49C4A0A8607}"/>
              </a:ext>
            </a:extLst>
          </xdr:cNvPr>
          <xdr:cNvSpPr/>
        </xdr:nvSpPr>
        <xdr:spPr>
          <a:xfrm>
            <a:off x="571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5" name="$B$1">
            <a:extLst>
              <a:ext uri="{FF2B5EF4-FFF2-40B4-BE49-F238E27FC236}">
                <a16:creationId xmlns:a16="http://schemas.microsoft.com/office/drawing/2014/main" id="{BA1E45E8-E5EE-4CC6-8040-8BB16B6B520B}"/>
              </a:ext>
            </a:extLst>
          </xdr:cNvPr>
          <xdr:cNvSpPr/>
        </xdr:nvSpPr>
        <xdr:spPr>
          <a:xfrm>
            <a:off x="584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6" name="$B$1">
            <a:extLst>
              <a:ext uri="{FF2B5EF4-FFF2-40B4-BE49-F238E27FC236}">
                <a16:creationId xmlns:a16="http://schemas.microsoft.com/office/drawing/2014/main" id="{A575E909-1232-4711-B1B5-47501CB26BA6}"/>
              </a:ext>
            </a:extLst>
          </xdr:cNvPr>
          <xdr:cNvSpPr/>
        </xdr:nvSpPr>
        <xdr:spPr>
          <a:xfrm>
            <a:off x="609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7" name="$B$1">
            <a:extLst>
              <a:ext uri="{FF2B5EF4-FFF2-40B4-BE49-F238E27FC236}">
                <a16:creationId xmlns:a16="http://schemas.microsoft.com/office/drawing/2014/main" id="{AD3448FC-DE3B-4B70-A939-71008B6DAB9E}"/>
              </a:ext>
            </a:extLst>
          </xdr:cNvPr>
          <xdr:cNvSpPr/>
        </xdr:nvSpPr>
        <xdr:spPr>
          <a:xfrm>
            <a:off x="660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8" name="$B$1">
            <a:extLst>
              <a:ext uri="{FF2B5EF4-FFF2-40B4-BE49-F238E27FC236}">
                <a16:creationId xmlns:a16="http://schemas.microsoft.com/office/drawing/2014/main" id="{00D79D41-C233-4C31-843B-7785FB774D0B}"/>
              </a:ext>
            </a:extLst>
          </xdr:cNvPr>
          <xdr:cNvSpPr/>
        </xdr:nvSpPr>
        <xdr:spPr>
          <a:xfrm>
            <a:off x="673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79" name="$B$1">
            <a:extLst>
              <a:ext uri="{FF2B5EF4-FFF2-40B4-BE49-F238E27FC236}">
                <a16:creationId xmlns:a16="http://schemas.microsoft.com/office/drawing/2014/main" id="{71E93FC7-253F-437D-A993-51B45A2DFB1C}"/>
              </a:ext>
            </a:extLst>
          </xdr:cNvPr>
          <xdr:cNvSpPr/>
        </xdr:nvSpPr>
        <xdr:spPr>
          <a:xfrm>
            <a:off x="685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0" name="$B$1">
            <a:extLst>
              <a:ext uri="{FF2B5EF4-FFF2-40B4-BE49-F238E27FC236}">
                <a16:creationId xmlns:a16="http://schemas.microsoft.com/office/drawing/2014/main" id="{AB86E4DD-CDF2-4E58-BF3D-4413272EE160}"/>
              </a:ext>
            </a:extLst>
          </xdr:cNvPr>
          <xdr:cNvSpPr/>
        </xdr:nvSpPr>
        <xdr:spPr>
          <a:xfrm>
            <a:off x="698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1" name="$B$1">
            <a:extLst>
              <a:ext uri="{FF2B5EF4-FFF2-40B4-BE49-F238E27FC236}">
                <a16:creationId xmlns:a16="http://schemas.microsoft.com/office/drawing/2014/main" id="{0AB57D02-EAC4-4982-9F7B-8032AD30A8D1}"/>
              </a:ext>
            </a:extLst>
          </xdr:cNvPr>
          <xdr:cNvSpPr/>
        </xdr:nvSpPr>
        <xdr:spPr>
          <a:xfrm>
            <a:off x="723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2" name="$B$1">
            <a:extLst>
              <a:ext uri="{FF2B5EF4-FFF2-40B4-BE49-F238E27FC236}">
                <a16:creationId xmlns:a16="http://schemas.microsoft.com/office/drawing/2014/main" id="{B5F99424-0EB7-46AD-8A03-7BCE6F341234}"/>
              </a:ext>
            </a:extLst>
          </xdr:cNvPr>
          <xdr:cNvSpPr/>
        </xdr:nvSpPr>
        <xdr:spPr>
          <a:xfrm>
            <a:off x="774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3" name="$B$1">
            <a:extLst>
              <a:ext uri="{FF2B5EF4-FFF2-40B4-BE49-F238E27FC236}">
                <a16:creationId xmlns:a16="http://schemas.microsoft.com/office/drawing/2014/main" id="{6D21F643-ADAC-4DEB-B6A4-641A7D477C8A}"/>
              </a:ext>
            </a:extLst>
          </xdr:cNvPr>
          <xdr:cNvSpPr/>
        </xdr:nvSpPr>
        <xdr:spPr>
          <a:xfrm>
            <a:off x="812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4" name="$B$1">
            <a:extLst>
              <a:ext uri="{FF2B5EF4-FFF2-40B4-BE49-F238E27FC236}">
                <a16:creationId xmlns:a16="http://schemas.microsoft.com/office/drawing/2014/main" id="{A3B35EE3-B746-4619-A0BB-F62A1D5610EF}"/>
              </a:ext>
            </a:extLst>
          </xdr:cNvPr>
          <xdr:cNvSpPr/>
        </xdr:nvSpPr>
        <xdr:spPr>
          <a:xfrm>
            <a:off x="8763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5" name="$B$1">
            <a:extLst>
              <a:ext uri="{FF2B5EF4-FFF2-40B4-BE49-F238E27FC236}">
                <a16:creationId xmlns:a16="http://schemas.microsoft.com/office/drawing/2014/main" id="{3DB314CC-4D93-4569-A4FA-1565E2690AC8}"/>
              </a:ext>
            </a:extLst>
          </xdr:cNvPr>
          <xdr:cNvSpPr/>
        </xdr:nvSpPr>
        <xdr:spPr>
          <a:xfrm>
            <a:off x="889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6" name="$B$1">
            <a:extLst>
              <a:ext uri="{FF2B5EF4-FFF2-40B4-BE49-F238E27FC236}">
                <a16:creationId xmlns:a16="http://schemas.microsoft.com/office/drawing/2014/main" id="{59D435CF-79DA-4AE5-8501-A8EFA41EFA62}"/>
              </a:ext>
            </a:extLst>
          </xdr:cNvPr>
          <xdr:cNvSpPr/>
        </xdr:nvSpPr>
        <xdr:spPr>
          <a:xfrm>
            <a:off x="901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7" name="$B$1">
            <a:extLst>
              <a:ext uri="{FF2B5EF4-FFF2-40B4-BE49-F238E27FC236}">
                <a16:creationId xmlns:a16="http://schemas.microsoft.com/office/drawing/2014/main" id="{FFDC851F-06CA-4431-977D-945E73188483}"/>
              </a:ext>
            </a:extLst>
          </xdr:cNvPr>
          <xdr:cNvSpPr/>
        </xdr:nvSpPr>
        <xdr:spPr>
          <a:xfrm>
            <a:off x="914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8" name="$B$1">
            <a:extLst>
              <a:ext uri="{FF2B5EF4-FFF2-40B4-BE49-F238E27FC236}">
                <a16:creationId xmlns:a16="http://schemas.microsoft.com/office/drawing/2014/main" id="{B6002B2A-C2BE-4AD8-8FF4-8868D144CC44}"/>
              </a:ext>
            </a:extLst>
          </xdr:cNvPr>
          <xdr:cNvSpPr/>
        </xdr:nvSpPr>
        <xdr:spPr>
          <a:xfrm>
            <a:off x="927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89" name="$B$1">
            <a:extLst>
              <a:ext uri="{FF2B5EF4-FFF2-40B4-BE49-F238E27FC236}">
                <a16:creationId xmlns:a16="http://schemas.microsoft.com/office/drawing/2014/main" id="{87B2D6CF-77B3-40E0-9914-BA9E15C01BCB}"/>
              </a:ext>
            </a:extLst>
          </xdr:cNvPr>
          <xdr:cNvSpPr/>
        </xdr:nvSpPr>
        <xdr:spPr>
          <a:xfrm>
            <a:off x="939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0" name="$B$1">
            <a:extLst>
              <a:ext uri="{FF2B5EF4-FFF2-40B4-BE49-F238E27FC236}">
                <a16:creationId xmlns:a16="http://schemas.microsoft.com/office/drawing/2014/main" id="{B94ADA4B-8FE7-4178-94B3-ABC1AE2AF18D}"/>
              </a:ext>
            </a:extLst>
          </xdr:cNvPr>
          <xdr:cNvSpPr/>
        </xdr:nvSpPr>
        <xdr:spPr>
          <a:xfrm>
            <a:off x="952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1" name="$B$1">
            <a:extLst>
              <a:ext uri="{FF2B5EF4-FFF2-40B4-BE49-F238E27FC236}">
                <a16:creationId xmlns:a16="http://schemas.microsoft.com/office/drawing/2014/main" id="{752980C6-EAFC-4C19-9308-4B91D311FA63}"/>
              </a:ext>
            </a:extLst>
          </xdr:cNvPr>
          <xdr:cNvSpPr/>
        </xdr:nvSpPr>
        <xdr:spPr>
          <a:xfrm>
            <a:off x="977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2" name="$B$1">
            <a:extLst>
              <a:ext uri="{FF2B5EF4-FFF2-40B4-BE49-F238E27FC236}">
                <a16:creationId xmlns:a16="http://schemas.microsoft.com/office/drawing/2014/main" id="{469FEA31-7850-4048-839E-C506B214B34F}"/>
              </a:ext>
            </a:extLst>
          </xdr:cNvPr>
          <xdr:cNvSpPr/>
        </xdr:nvSpPr>
        <xdr:spPr>
          <a:xfrm>
            <a:off x="1028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3" name="$B$1">
            <a:extLst>
              <a:ext uri="{FF2B5EF4-FFF2-40B4-BE49-F238E27FC236}">
                <a16:creationId xmlns:a16="http://schemas.microsoft.com/office/drawing/2014/main" id="{EF5CD637-6F90-443E-A1DC-7E190B05FA31}"/>
              </a:ext>
            </a:extLst>
          </xdr:cNvPr>
          <xdr:cNvSpPr/>
        </xdr:nvSpPr>
        <xdr:spPr>
          <a:xfrm>
            <a:off x="1054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4" name="$B$1">
            <a:extLst>
              <a:ext uri="{FF2B5EF4-FFF2-40B4-BE49-F238E27FC236}">
                <a16:creationId xmlns:a16="http://schemas.microsoft.com/office/drawing/2014/main" id="{63D01280-A56D-434B-896D-A93D0E3DC889}"/>
              </a:ext>
            </a:extLst>
          </xdr:cNvPr>
          <xdr:cNvSpPr/>
        </xdr:nvSpPr>
        <xdr:spPr>
          <a:xfrm>
            <a:off x="1092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228118</xdr:colOff>
      <xdr:row>2</xdr:row>
      <xdr:rowOff>0</xdr:rowOff>
    </xdr:from>
    <xdr:to>
      <xdr:col>1</xdr:col>
      <xdr:colOff>2179801</xdr:colOff>
      <xdr:row>3</xdr:row>
      <xdr:rowOff>0</xdr:rowOff>
    </xdr:to>
    <xdr:grpSp>
      <xdr:nvGrpSpPr>
        <xdr:cNvPr id="38560" name="$B$3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6E0DE047-F76E-472D-9DAE-2338373ECD37}"/>
            </a:ext>
          </a:extLst>
        </xdr:cNvPr>
        <xdr:cNvGrpSpPr>
          <a:grpSpLocks noChangeAspect="1"/>
        </xdr:cNvGrpSpPr>
      </xdr:nvGrpSpPr>
      <xdr:grpSpPr>
        <a:xfrm>
          <a:off x="1195858" y="2865120"/>
          <a:ext cx="1951683" cy="266700"/>
          <a:chOff x="0" y="12700"/>
          <a:chExt cx="1206500" cy="12700"/>
        </a:xfrm>
      </xdr:grpSpPr>
      <xdr:sp macro="" textlink="">
        <xdr:nvSpPr>
          <xdr:cNvPr id="2" name="$B$3">
            <a:extLst>
              <a:ext uri="{FF2B5EF4-FFF2-40B4-BE49-F238E27FC236}">
                <a16:creationId xmlns:a16="http://schemas.microsoft.com/office/drawing/2014/main" id="{194BE8BC-4700-4844-93A9-25DE80BA752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$B$3">
            <a:extLst>
              <a:ext uri="{FF2B5EF4-FFF2-40B4-BE49-F238E27FC236}">
                <a16:creationId xmlns:a16="http://schemas.microsoft.com/office/drawing/2014/main" id="{A96D5733-ABF5-4317-BFF5-3A127AD72585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$B$3">
            <a:extLst>
              <a:ext uri="{FF2B5EF4-FFF2-40B4-BE49-F238E27FC236}">
                <a16:creationId xmlns:a16="http://schemas.microsoft.com/office/drawing/2014/main" id="{B8052F17-C8DA-4430-89F9-424A019A4BFB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$B$3">
            <a:extLst>
              <a:ext uri="{FF2B5EF4-FFF2-40B4-BE49-F238E27FC236}">
                <a16:creationId xmlns:a16="http://schemas.microsoft.com/office/drawing/2014/main" id="{F9AA9120-5BA8-49E0-8D60-0ACB6858CC2C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$B$3">
            <a:extLst>
              <a:ext uri="{FF2B5EF4-FFF2-40B4-BE49-F238E27FC236}">
                <a16:creationId xmlns:a16="http://schemas.microsoft.com/office/drawing/2014/main" id="{6C2E091A-312E-4C02-A702-7766CB80DC4F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$B$3">
            <a:extLst>
              <a:ext uri="{FF2B5EF4-FFF2-40B4-BE49-F238E27FC236}">
                <a16:creationId xmlns:a16="http://schemas.microsoft.com/office/drawing/2014/main" id="{087ED558-F988-413B-918F-8BECCC9038D2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$B$3">
            <a:extLst>
              <a:ext uri="{FF2B5EF4-FFF2-40B4-BE49-F238E27FC236}">
                <a16:creationId xmlns:a16="http://schemas.microsoft.com/office/drawing/2014/main" id="{01F2D3E4-F92C-49F1-8A20-6E88412DCEE5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$B$3">
            <a:extLst>
              <a:ext uri="{FF2B5EF4-FFF2-40B4-BE49-F238E27FC236}">
                <a16:creationId xmlns:a16="http://schemas.microsoft.com/office/drawing/2014/main" id="{8F319E06-FD38-4532-9BE5-D4E831DFD022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$B$3">
            <a:extLst>
              <a:ext uri="{FF2B5EF4-FFF2-40B4-BE49-F238E27FC236}">
                <a16:creationId xmlns:a16="http://schemas.microsoft.com/office/drawing/2014/main" id="{0E9A316B-2640-4F7E-B0CA-4EAEE98094F5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$B$3">
            <a:extLst>
              <a:ext uri="{FF2B5EF4-FFF2-40B4-BE49-F238E27FC236}">
                <a16:creationId xmlns:a16="http://schemas.microsoft.com/office/drawing/2014/main" id="{DAE3836F-8E4C-42F6-8BCE-43127E2EFBC1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$B$3">
            <a:extLst>
              <a:ext uri="{FF2B5EF4-FFF2-40B4-BE49-F238E27FC236}">
                <a16:creationId xmlns:a16="http://schemas.microsoft.com/office/drawing/2014/main" id="{6BD64F48-3990-4CE0-A399-CAB51539738D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$B$3">
            <a:extLst>
              <a:ext uri="{FF2B5EF4-FFF2-40B4-BE49-F238E27FC236}">
                <a16:creationId xmlns:a16="http://schemas.microsoft.com/office/drawing/2014/main" id="{7BD01E2B-2D0B-4ED9-BBDE-C07BF1AE3298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$B$3">
            <a:extLst>
              <a:ext uri="{FF2B5EF4-FFF2-40B4-BE49-F238E27FC236}">
                <a16:creationId xmlns:a16="http://schemas.microsoft.com/office/drawing/2014/main" id="{34086C30-8921-49D0-A868-E1F603F3931D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$B$3">
            <a:extLst>
              <a:ext uri="{FF2B5EF4-FFF2-40B4-BE49-F238E27FC236}">
                <a16:creationId xmlns:a16="http://schemas.microsoft.com/office/drawing/2014/main" id="{A091219E-F7E0-4A61-AAE0-17B5183315EA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$B$3">
            <a:extLst>
              <a:ext uri="{FF2B5EF4-FFF2-40B4-BE49-F238E27FC236}">
                <a16:creationId xmlns:a16="http://schemas.microsoft.com/office/drawing/2014/main" id="{4C3D1D12-8C46-4A54-940D-F734B5D7C2E6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$B$3">
            <a:extLst>
              <a:ext uri="{FF2B5EF4-FFF2-40B4-BE49-F238E27FC236}">
                <a16:creationId xmlns:a16="http://schemas.microsoft.com/office/drawing/2014/main" id="{70D8BFB5-F160-4777-80FB-EB4755220926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$B$3">
            <a:extLst>
              <a:ext uri="{FF2B5EF4-FFF2-40B4-BE49-F238E27FC236}">
                <a16:creationId xmlns:a16="http://schemas.microsoft.com/office/drawing/2014/main" id="{B8E8B250-75B3-4EDC-9210-FB8D538EEF33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$B$3">
            <a:extLst>
              <a:ext uri="{FF2B5EF4-FFF2-40B4-BE49-F238E27FC236}">
                <a16:creationId xmlns:a16="http://schemas.microsoft.com/office/drawing/2014/main" id="{B55D2CF4-D038-4DCF-8AB8-03C1741FFFC2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$B$3">
            <a:extLst>
              <a:ext uri="{FF2B5EF4-FFF2-40B4-BE49-F238E27FC236}">
                <a16:creationId xmlns:a16="http://schemas.microsoft.com/office/drawing/2014/main" id="{F26F8E57-32D9-4B42-9E6A-CA90A9E5E857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$B$3">
            <a:extLst>
              <a:ext uri="{FF2B5EF4-FFF2-40B4-BE49-F238E27FC236}">
                <a16:creationId xmlns:a16="http://schemas.microsoft.com/office/drawing/2014/main" id="{DE864614-3D1B-4686-BD38-D96C2A58F011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$B$3">
            <a:extLst>
              <a:ext uri="{FF2B5EF4-FFF2-40B4-BE49-F238E27FC236}">
                <a16:creationId xmlns:a16="http://schemas.microsoft.com/office/drawing/2014/main" id="{5E8D2B28-ECF1-463A-9D39-C76E179C05C5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$B$3">
            <a:extLst>
              <a:ext uri="{FF2B5EF4-FFF2-40B4-BE49-F238E27FC236}">
                <a16:creationId xmlns:a16="http://schemas.microsoft.com/office/drawing/2014/main" id="{3A5E028E-6DD6-4EED-AC9E-83610F0B4782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$B$3">
            <a:extLst>
              <a:ext uri="{FF2B5EF4-FFF2-40B4-BE49-F238E27FC236}">
                <a16:creationId xmlns:a16="http://schemas.microsoft.com/office/drawing/2014/main" id="{AC427399-D4E7-4D1B-96A3-A83720236409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$B$3">
            <a:extLst>
              <a:ext uri="{FF2B5EF4-FFF2-40B4-BE49-F238E27FC236}">
                <a16:creationId xmlns:a16="http://schemas.microsoft.com/office/drawing/2014/main" id="{31013DC6-7904-442A-829A-080D0F57D8C7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$B$3">
            <a:extLst>
              <a:ext uri="{FF2B5EF4-FFF2-40B4-BE49-F238E27FC236}">
                <a16:creationId xmlns:a16="http://schemas.microsoft.com/office/drawing/2014/main" id="{CA403E10-2D7F-4687-8BD5-2543B679D5A7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$B$3">
            <a:extLst>
              <a:ext uri="{FF2B5EF4-FFF2-40B4-BE49-F238E27FC236}">
                <a16:creationId xmlns:a16="http://schemas.microsoft.com/office/drawing/2014/main" id="{DEA23C46-2115-4902-8679-2179FF90401B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$B$3">
            <a:extLst>
              <a:ext uri="{FF2B5EF4-FFF2-40B4-BE49-F238E27FC236}">
                <a16:creationId xmlns:a16="http://schemas.microsoft.com/office/drawing/2014/main" id="{109A03D9-EE53-457E-A42B-2FCFD48C1CEB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$B$3">
            <a:extLst>
              <a:ext uri="{FF2B5EF4-FFF2-40B4-BE49-F238E27FC236}">
                <a16:creationId xmlns:a16="http://schemas.microsoft.com/office/drawing/2014/main" id="{744FB05A-6C96-4A7D-B310-A286373012A5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$B$3">
            <a:extLst>
              <a:ext uri="{FF2B5EF4-FFF2-40B4-BE49-F238E27FC236}">
                <a16:creationId xmlns:a16="http://schemas.microsoft.com/office/drawing/2014/main" id="{63CF0A1B-4365-4C8C-B6C8-016A035BCFE2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$B$3">
            <a:extLst>
              <a:ext uri="{FF2B5EF4-FFF2-40B4-BE49-F238E27FC236}">
                <a16:creationId xmlns:a16="http://schemas.microsoft.com/office/drawing/2014/main" id="{4321B6E3-B582-4419-A607-D2F100C894E5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424927</xdr:colOff>
      <xdr:row>3</xdr:row>
      <xdr:rowOff>0</xdr:rowOff>
    </xdr:from>
    <xdr:to>
      <xdr:col>1</xdr:col>
      <xdr:colOff>1982993</xdr:colOff>
      <xdr:row>4</xdr:row>
      <xdr:rowOff>0</xdr:rowOff>
    </xdr:to>
    <xdr:grpSp>
      <xdr:nvGrpSpPr>
        <xdr:cNvPr id="38578" name="$B$4" descr="Linear barcode, 51 modules" title="111411122211132122231121141111111">
          <a:extLst>
            <a:ext uri="{FF2B5EF4-FFF2-40B4-BE49-F238E27FC236}">
              <a16:creationId xmlns:a16="http://schemas.microsoft.com/office/drawing/2014/main" id="{6E1D395C-A28F-4F68-B554-B1B3BB2646CF}"/>
            </a:ext>
          </a:extLst>
        </xdr:cNvPr>
        <xdr:cNvGrpSpPr>
          <a:grpSpLocks noChangeAspect="1"/>
        </xdr:cNvGrpSpPr>
      </xdr:nvGrpSpPr>
      <xdr:grpSpPr>
        <a:xfrm>
          <a:off x="1392667" y="3131820"/>
          <a:ext cx="1558066" cy="266700"/>
          <a:chOff x="0" y="12700"/>
          <a:chExt cx="647700" cy="12700"/>
        </a:xfrm>
      </xdr:grpSpPr>
      <xdr:sp macro="" textlink="">
        <xdr:nvSpPr>
          <xdr:cNvPr id="38561" name="$B$4">
            <a:extLst>
              <a:ext uri="{FF2B5EF4-FFF2-40B4-BE49-F238E27FC236}">
                <a16:creationId xmlns:a16="http://schemas.microsoft.com/office/drawing/2014/main" id="{C28D84F2-F2E1-4F26-91DA-A6FA9803DE9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62" name="$B$4">
            <a:extLst>
              <a:ext uri="{FF2B5EF4-FFF2-40B4-BE49-F238E27FC236}">
                <a16:creationId xmlns:a16="http://schemas.microsoft.com/office/drawing/2014/main" id="{FAC5A2DA-62DF-4F7A-9A36-AFBF9187324B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63" name="$B$4">
            <a:extLst>
              <a:ext uri="{FF2B5EF4-FFF2-40B4-BE49-F238E27FC236}">
                <a16:creationId xmlns:a16="http://schemas.microsoft.com/office/drawing/2014/main" id="{229FA947-A1CD-45D5-B73A-5BE09E25746D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64" name="$B$4">
            <a:extLst>
              <a:ext uri="{FF2B5EF4-FFF2-40B4-BE49-F238E27FC236}">
                <a16:creationId xmlns:a16="http://schemas.microsoft.com/office/drawing/2014/main" id="{F62919AB-9F6E-4EE8-BE86-FBC7D89B3A1F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65" name="$B$4">
            <a:extLst>
              <a:ext uri="{FF2B5EF4-FFF2-40B4-BE49-F238E27FC236}">
                <a16:creationId xmlns:a16="http://schemas.microsoft.com/office/drawing/2014/main" id="{F18C85B4-3B3F-4A22-81CA-FC124B92D27A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66" name="$B$4">
            <a:extLst>
              <a:ext uri="{FF2B5EF4-FFF2-40B4-BE49-F238E27FC236}">
                <a16:creationId xmlns:a16="http://schemas.microsoft.com/office/drawing/2014/main" id="{FB8038EB-3E2B-4B4D-BF4C-80812987231E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67" name="$B$4">
            <a:extLst>
              <a:ext uri="{FF2B5EF4-FFF2-40B4-BE49-F238E27FC236}">
                <a16:creationId xmlns:a16="http://schemas.microsoft.com/office/drawing/2014/main" id="{69DEC5AE-B551-4447-A2FE-A98E00317FB8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68" name="$B$4">
            <a:extLst>
              <a:ext uri="{FF2B5EF4-FFF2-40B4-BE49-F238E27FC236}">
                <a16:creationId xmlns:a16="http://schemas.microsoft.com/office/drawing/2014/main" id="{7A809768-08DA-48CB-AF13-6BD4234639DA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69" name="$B$4">
            <a:extLst>
              <a:ext uri="{FF2B5EF4-FFF2-40B4-BE49-F238E27FC236}">
                <a16:creationId xmlns:a16="http://schemas.microsoft.com/office/drawing/2014/main" id="{410B4740-4FAE-420D-BED6-ED9B7E0B4D34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70" name="$B$4">
            <a:extLst>
              <a:ext uri="{FF2B5EF4-FFF2-40B4-BE49-F238E27FC236}">
                <a16:creationId xmlns:a16="http://schemas.microsoft.com/office/drawing/2014/main" id="{F4EEED24-9C95-4075-9BB1-4E1B34AE0A0A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71" name="$B$4">
            <a:extLst>
              <a:ext uri="{FF2B5EF4-FFF2-40B4-BE49-F238E27FC236}">
                <a16:creationId xmlns:a16="http://schemas.microsoft.com/office/drawing/2014/main" id="{E1A269E9-9116-44A8-AA58-21787469D01E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72" name="$B$4">
            <a:extLst>
              <a:ext uri="{FF2B5EF4-FFF2-40B4-BE49-F238E27FC236}">
                <a16:creationId xmlns:a16="http://schemas.microsoft.com/office/drawing/2014/main" id="{55646995-58DD-495F-9BA7-BC8C55D58E60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73" name="$B$4">
            <a:extLst>
              <a:ext uri="{FF2B5EF4-FFF2-40B4-BE49-F238E27FC236}">
                <a16:creationId xmlns:a16="http://schemas.microsoft.com/office/drawing/2014/main" id="{082C26A0-F764-498F-9177-7FCEADB232CC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74" name="$B$4">
            <a:extLst>
              <a:ext uri="{FF2B5EF4-FFF2-40B4-BE49-F238E27FC236}">
                <a16:creationId xmlns:a16="http://schemas.microsoft.com/office/drawing/2014/main" id="{7E423FF3-4ED7-4536-A184-D944FF528845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75" name="$B$4">
            <a:extLst>
              <a:ext uri="{FF2B5EF4-FFF2-40B4-BE49-F238E27FC236}">
                <a16:creationId xmlns:a16="http://schemas.microsoft.com/office/drawing/2014/main" id="{7D0545D0-4518-4E63-BE84-8878489D8C35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76" name="$B$4">
            <a:extLst>
              <a:ext uri="{FF2B5EF4-FFF2-40B4-BE49-F238E27FC236}">
                <a16:creationId xmlns:a16="http://schemas.microsoft.com/office/drawing/2014/main" id="{D797A186-788A-40F7-8784-9CEB5F74433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77" name="$B$4">
            <a:extLst>
              <a:ext uri="{FF2B5EF4-FFF2-40B4-BE49-F238E27FC236}">
                <a16:creationId xmlns:a16="http://schemas.microsoft.com/office/drawing/2014/main" id="{A770508F-17C5-4132-A533-3906C4852575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228118</xdr:colOff>
      <xdr:row>4</xdr:row>
      <xdr:rowOff>0</xdr:rowOff>
    </xdr:from>
    <xdr:to>
      <xdr:col>1</xdr:col>
      <xdr:colOff>2179801</xdr:colOff>
      <xdr:row>5</xdr:row>
      <xdr:rowOff>0</xdr:rowOff>
    </xdr:to>
    <xdr:grpSp>
      <xdr:nvGrpSpPr>
        <xdr:cNvPr id="39645" name="$B$5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3C841B39-9892-479D-BC50-B8B8434A83AB}"/>
            </a:ext>
          </a:extLst>
        </xdr:cNvPr>
        <xdr:cNvGrpSpPr>
          <a:grpSpLocks noChangeAspect="1"/>
        </xdr:cNvGrpSpPr>
      </xdr:nvGrpSpPr>
      <xdr:grpSpPr>
        <a:xfrm>
          <a:off x="1195858" y="3398520"/>
          <a:ext cx="1951683" cy="266700"/>
          <a:chOff x="0" y="12700"/>
          <a:chExt cx="1206500" cy="12700"/>
        </a:xfrm>
      </xdr:grpSpPr>
      <xdr:sp macro="" textlink="">
        <xdr:nvSpPr>
          <xdr:cNvPr id="38579" name="$B$5">
            <a:extLst>
              <a:ext uri="{FF2B5EF4-FFF2-40B4-BE49-F238E27FC236}">
                <a16:creationId xmlns:a16="http://schemas.microsoft.com/office/drawing/2014/main" id="{3FDF1D73-4952-4893-BBF9-F5F2423BBC08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0" name="$B$5">
            <a:extLst>
              <a:ext uri="{FF2B5EF4-FFF2-40B4-BE49-F238E27FC236}">
                <a16:creationId xmlns:a16="http://schemas.microsoft.com/office/drawing/2014/main" id="{B264A981-FEAC-4D96-ABB5-40B7B339E057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1" name="$B$5">
            <a:extLst>
              <a:ext uri="{FF2B5EF4-FFF2-40B4-BE49-F238E27FC236}">
                <a16:creationId xmlns:a16="http://schemas.microsoft.com/office/drawing/2014/main" id="{9206F11A-9D65-470C-89F3-F4A1BB700128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2" name="$B$5">
            <a:extLst>
              <a:ext uri="{FF2B5EF4-FFF2-40B4-BE49-F238E27FC236}">
                <a16:creationId xmlns:a16="http://schemas.microsoft.com/office/drawing/2014/main" id="{91CB9E76-9D12-48A4-B2AA-49AD26A3F7AB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3" name="$B$5">
            <a:extLst>
              <a:ext uri="{FF2B5EF4-FFF2-40B4-BE49-F238E27FC236}">
                <a16:creationId xmlns:a16="http://schemas.microsoft.com/office/drawing/2014/main" id="{93040973-CA4A-4BEE-A935-9116182EDBAB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4" name="$B$5">
            <a:extLst>
              <a:ext uri="{FF2B5EF4-FFF2-40B4-BE49-F238E27FC236}">
                <a16:creationId xmlns:a16="http://schemas.microsoft.com/office/drawing/2014/main" id="{AB030129-146E-40FC-98F4-739F5E8E3DB9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5" name="$B$5">
            <a:extLst>
              <a:ext uri="{FF2B5EF4-FFF2-40B4-BE49-F238E27FC236}">
                <a16:creationId xmlns:a16="http://schemas.microsoft.com/office/drawing/2014/main" id="{3CECBC22-1204-4BEC-972C-922A9CC608C3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6" name="$B$5">
            <a:extLst>
              <a:ext uri="{FF2B5EF4-FFF2-40B4-BE49-F238E27FC236}">
                <a16:creationId xmlns:a16="http://schemas.microsoft.com/office/drawing/2014/main" id="{E42FA735-DD7F-4740-8165-1B82316095E5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3" name="$B$5">
            <a:extLst>
              <a:ext uri="{FF2B5EF4-FFF2-40B4-BE49-F238E27FC236}">
                <a16:creationId xmlns:a16="http://schemas.microsoft.com/office/drawing/2014/main" id="{FBA984F8-40AD-4D8F-AF7A-9C430303046D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4" name="$B$5">
            <a:extLst>
              <a:ext uri="{FF2B5EF4-FFF2-40B4-BE49-F238E27FC236}">
                <a16:creationId xmlns:a16="http://schemas.microsoft.com/office/drawing/2014/main" id="{BF704386-DE70-4FA4-A63B-D9EF4DF8D9D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5" name="$B$5">
            <a:extLst>
              <a:ext uri="{FF2B5EF4-FFF2-40B4-BE49-F238E27FC236}">
                <a16:creationId xmlns:a16="http://schemas.microsoft.com/office/drawing/2014/main" id="{5DB43A12-BE94-445B-9375-8BBD5E453AAB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6" name="$B$5">
            <a:extLst>
              <a:ext uri="{FF2B5EF4-FFF2-40B4-BE49-F238E27FC236}">
                <a16:creationId xmlns:a16="http://schemas.microsoft.com/office/drawing/2014/main" id="{E07A2710-A834-49A3-A92F-8679641CAF14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7" name="$B$5">
            <a:extLst>
              <a:ext uri="{FF2B5EF4-FFF2-40B4-BE49-F238E27FC236}">
                <a16:creationId xmlns:a16="http://schemas.microsoft.com/office/drawing/2014/main" id="{193CD95D-AD90-4C45-A169-D52A09775956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8" name="$B$5">
            <a:extLst>
              <a:ext uri="{FF2B5EF4-FFF2-40B4-BE49-F238E27FC236}">
                <a16:creationId xmlns:a16="http://schemas.microsoft.com/office/drawing/2014/main" id="{510A53E4-4D7B-4F01-B283-9F7F09021CBF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9" name="$B$5">
            <a:extLst>
              <a:ext uri="{FF2B5EF4-FFF2-40B4-BE49-F238E27FC236}">
                <a16:creationId xmlns:a16="http://schemas.microsoft.com/office/drawing/2014/main" id="{9FECD9DD-1281-44D1-B5F5-171F573FEBB6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0" name="$B$5">
            <a:extLst>
              <a:ext uri="{FF2B5EF4-FFF2-40B4-BE49-F238E27FC236}">
                <a16:creationId xmlns:a16="http://schemas.microsoft.com/office/drawing/2014/main" id="{1738E7FC-51D2-4495-8B9E-A441BD9401BE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1" name="$B$5">
            <a:extLst>
              <a:ext uri="{FF2B5EF4-FFF2-40B4-BE49-F238E27FC236}">
                <a16:creationId xmlns:a16="http://schemas.microsoft.com/office/drawing/2014/main" id="{A5C10887-DFCB-4001-A690-FB5D3985BACA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2" name="$B$5">
            <a:extLst>
              <a:ext uri="{FF2B5EF4-FFF2-40B4-BE49-F238E27FC236}">
                <a16:creationId xmlns:a16="http://schemas.microsoft.com/office/drawing/2014/main" id="{50E4F081-7411-4F35-881B-919FA4E0B57D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3" name="$B$5">
            <a:extLst>
              <a:ext uri="{FF2B5EF4-FFF2-40B4-BE49-F238E27FC236}">
                <a16:creationId xmlns:a16="http://schemas.microsoft.com/office/drawing/2014/main" id="{999F8F25-27C9-4EC0-AE58-57342E5D3BC6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4" name="$B$5">
            <a:extLst>
              <a:ext uri="{FF2B5EF4-FFF2-40B4-BE49-F238E27FC236}">
                <a16:creationId xmlns:a16="http://schemas.microsoft.com/office/drawing/2014/main" id="{1B71A67D-FE85-425C-A1E0-12F98716CD50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5" name="$B$5">
            <a:extLst>
              <a:ext uri="{FF2B5EF4-FFF2-40B4-BE49-F238E27FC236}">
                <a16:creationId xmlns:a16="http://schemas.microsoft.com/office/drawing/2014/main" id="{BF353EB5-57D1-4D90-B090-FA619F203729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6" name="$B$5">
            <a:extLst>
              <a:ext uri="{FF2B5EF4-FFF2-40B4-BE49-F238E27FC236}">
                <a16:creationId xmlns:a16="http://schemas.microsoft.com/office/drawing/2014/main" id="{9DF47DCC-0A2E-4D5B-93AF-7DEC4C2B07B2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7" name="$B$5">
            <a:extLst>
              <a:ext uri="{FF2B5EF4-FFF2-40B4-BE49-F238E27FC236}">
                <a16:creationId xmlns:a16="http://schemas.microsoft.com/office/drawing/2014/main" id="{EB4A61EB-3562-4928-A488-BF4C5A46A471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8" name="$B$5">
            <a:extLst>
              <a:ext uri="{FF2B5EF4-FFF2-40B4-BE49-F238E27FC236}">
                <a16:creationId xmlns:a16="http://schemas.microsoft.com/office/drawing/2014/main" id="{308A5763-7D13-488A-938D-A154DE9AD4CB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39" name="$B$5">
            <a:extLst>
              <a:ext uri="{FF2B5EF4-FFF2-40B4-BE49-F238E27FC236}">
                <a16:creationId xmlns:a16="http://schemas.microsoft.com/office/drawing/2014/main" id="{E15BFE28-546A-47C2-8551-81EAC9224112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40" name="$B$5">
            <a:extLst>
              <a:ext uri="{FF2B5EF4-FFF2-40B4-BE49-F238E27FC236}">
                <a16:creationId xmlns:a16="http://schemas.microsoft.com/office/drawing/2014/main" id="{D20CEE0B-76F1-4FB4-AC22-19E32B61957A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41" name="$B$5">
            <a:extLst>
              <a:ext uri="{FF2B5EF4-FFF2-40B4-BE49-F238E27FC236}">
                <a16:creationId xmlns:a16="http://schemas.microsoft.com/office/drawing/2014/main" id="{4D056947-A9B8-40A0-A1A5-E42011A36F42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42" name="$B$5">
            <a:extLst>
              <a:ext uri="{FF2B5EF4-FFF2-40B4-BE49-F238E27FC236}">
                <a16:creationId xmlns:a16="http://schemas.microsoft.com/office/drawing/2014/main" id="{F32937AB-D808-4501-8BEB-6B6873998CBD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43" name="$B$5">
            <a:extLst>
              <a:ext uri="{FF2B5EF4-FFF2-40B4-BE49-F238E27FC236}">
                <a16:creationId xmlns:a16="http://schemas.microsoft.com/office/drawing/2014/main" id="{6246FEC0-80C0-4982-A1AC-93313B4A7C81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44" name="$B$5">
            <a:extLst>
              <a:ext uri="{FF2B5EF4-FFF2-40B4-BE49-F238E27FC236}">
                <a16:creationId xmlns:a16="http://schemas.microsoft.com/office/drawing/2014/main" id="{FA3D37DE-626E-454B-AD0C-718E74D36F85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323452</xdr:colOff>
      <xdr:row>5</xdr:row>
      <xdr:rowOff>0</xdr:rowOff>
    </xdr:from>
    <xdr:to>
      <xdr:col>1</xdr:col>
      <xdr:colOff>2084468</xdr:colOff>
      <xdr:row>6</xdr:row>
      <xdr:rowOff>0</xdr:rowOff>
    </xdr:to>
    <xdr:grpSp>
      <xdr:nvGrpSpPr>
        <xdr:cNvPr id="40564" name="$B$6" descr="Linear barcode, 67 modules" title="1113112123132111231111113211321132111411111">
          <a:extLst>
            <a:ext uri="{FF2B5EF4-FFF2-40B4-BE49-F238E27FC236}">
              <a16:creationId xmlns:a16="http://schemas.microsoft.com/office/drawing/2014/main" id="{69915EFE-46FC-47E0-AC55-FBA14570BF01}"/>
            </a:ext>
          </a:extLst>
        </xdr:cNvPr>
        <xdr:cNvGrpSpPr>
          <a:grpSpLocks noChangeAspect="1"/>
        </xdr:cNvGrpSpPr>
      </xdr:nvGrpSpPr>
      <xdr:grpSpPr>
        <a:xfrm>
          <a:off x="1291192" y="3665220"/>
          <a:ext cx="1761016" cy="266700"/>
          <a:chOff x="0" y="12700"/>
          <a:chExt cx="850900" cy="12700"/>
        </a:xfrm>
      </xdr:grpSpPr>
      <xdr:sp macro="" textlink="">
        <xdr:nvSpPr>
          <xdr:cNvPr id="39646" name="$B$6">
            <a:extLst>
              <a:ext uri="{FF2B5EF4-FFF2-40B4-BE49-F238E27FC236}">
                <a16:creationId xmlns:a16="http://schemas.microsoft.com/office/drawing/2014/main" id="{5F57B068-B992-4F1A-857E-3E6127BFE9F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47" name="$B$6">
            <a:extLst>
              <a:ext uri="{FF2B5EF4-FFF2-40B4-BE49-F238E27FC236}">
                <a16:creationId xmlns:a16="http://schemas.microsoft.com/office/drawing/2014/main" id="{3A6AAC04-A294-4077-854C-D13A0B95E915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44" name="$B$6">
            <a:extLst>
              <a:ext uri="{FF2B5EF4-FFF2-40B4-BE49-F238E27FC236}">
                <a16:creationId xmlns:a16="http://schemas.microsoft.com/office/drawing/2014/main" id="{57E5E9F2-B376-40A8-B906-993D5C6749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45" name="$B$6">
            <a:extLst>
              <a:ext uri="{FF2B5EF4-FFF2-40B4-BE49-F238E27FC236}">
                <a16:creationId xmlns:a16="http://schemas.microsoft.com/office/drawing/2014/main" id="{C325645A-EEFE-437B-B110-DBE52ED52CFD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46" name="$B$6">
            <a:extLst>
              <a:ext uri="{FF2B5EF4-FFF2-40B4-BE49-F238E27FC236}">
                <a16:creationId xmlns:a16="http://schemas.microsoft.com/office/drawing/2014/main" id="{0D7D0735-9806-447A-B3EF-29FF96102515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47" name="$B$6">
            <a:extLst>
              <a:ext uri="{FF2B5EF4-FFF2-40B4-BE49-F238E27FC236}">
                <a16:creationId xmlns:a16="http://schemas.microsoft.com/office/drawing/2014/main" id="{BB06ED72-1DF6-4E46-AE0C-52FE82EBD1E6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48" name="$B$6">
            <a:extLst>
              <a:ext uri="{FF2B5EF4-FFF2-40B4-BE49-F238E27FC236}">
                <a16:creationId xmlns:a16="http://schemas.microsoft.com/office/drawing/2014/main" id="{481B52C2-8789-49B8-B4ED-9D627468DCDD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49" name="$B$6">
            <a:extLst>
              <a:ext uri="{FF2B5EF4-FFF2-40B4-BE49-F238E27FC236}">
                <a16:creationId xmlns:a16="http://schemas.microsoft.com/office/drawing/2014/main" id="{5044E32B-53C1-4C56-8B3B-EBC78157DF5E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0" name="$B$6">
            <a:extLst>
              <a:ext uri="{FF2B5EF4-FFF2-40B4-BE49-F238E27FC236}">
                <a16:creationId xmlns:a16="http://schemas.microsoft.com/office/drawing/2014/main" id="{2F6FD87C-3570-41C4-AE4E-0F040E72DC28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1" name="$B$6">
            <a:extLst>
              <a:ext uri="{FF2B5EF4-FFF2-40B4-BE49-F238E27FC236}">
                <a16:creationId xmlns:a16="http://schemas.microsoft.com/office/drawing/2014/main" id="{41735CDA-796E-4494-86CF-DF54C888983D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2" name="$B$6">
            <a:extLst>
              <a:ext uri="{FF2B5EF4-FFF2-40B4-BE49-F238E27FC236}">
                <a16:creationId xmlns:a16="http://schemas.microsoft.com/office/drawing/2014/main" id="{D09D4427-9B92-4922-AB69-71502F6BEF6A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3" name="$B$6">
            <a:extLst>
              <a:ext uri="{FF2B5EF4-FFF2-40B4-BE49-F238E27FC236}">
                <a16:creationId xmlns:a16="http://schemas.microsoft.com/office/drawing/2014/main" id="{AB144721-0837-43AD-B78B-0DD824D7819A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4" name="$B$6">
            <a:extLst>
              <a:ext uri="{FF2B5EF4-FFF2-40B4-BE49-F238E27FC236}">
                <a16:creationId xmlns:a16="http://schemas.microsoft.com/office/drawing/2014/main" id="{00023113-87AB-49F7-AB7B-43AB8D6F8485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5" name="$B$6">
            <a:extLst>
              <a:ext uri="{FF2B5EF4-FFF2-40B4-BE49-F238E27FC236}">
                <a16:creationId xmlns:a16="http://schemas.microsoft.com/office/drawing/2014/main" id="{03F4F17A-8EE3-4842-9014-79EEBDBAFA6F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6" name="$B$6">
            <a:extLst>
              <a:ext uri="{FF2B5EF4-FFF2-40B4-BE49-F238E27FC236}">
                <a16:creationId xmlns:a16="http://schemas.microsoft.com/office/drawing/2014/main" id="{942AF349-A5F0-41C9-ADC3-C1AE7C46611D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7" name="$B$6">
            <a:extLst>
              <a:ext uri="{FF2B5EF4-FFF2-40B4-BE49-F238E27FC236}">
                <a16:creationId xmlns:a16="http://schemas.microsoft.com/office/drawing/2014/main" id="{BA506890-38D1-43F1-B171-CBB4CCFBEFAF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8" name="$B$6">
            <a:extLst>
              <a:ext uri="{FF2B5EF4-FFF2-40B4-BE49-F238E27FC236}">
                <a16:creationId xmlns:a16="http://schemas.microsoft.com/office/drawing/2014/main" id="{767A5C01-B686-4F85-B695-2B7E50C447D7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59" name="$B$6">
            <a:extLst>
              <a:ext uri="{FF2B5EF4-FFF2-40B4-BE49-F238E27FC236}">
                <a16:creationId xmlns:a16="http://schemas.microsoft.com/office/drawing/2014/main" id="{FAD6E595-F3EC-4C27-A4E4-46371588A7F8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0" name="$B$6">
            <a:extLst>
              <a:ext uri="{FF2B5EF4-FFF2-40B4-BE49-F238E27FC236}">
                <a16:creationId xmlns:a16="http://schemas.microsoft.com/office/drawing/2014/main" id="{8B01A4FA-F46F-4DCD-BEFD-4E8386000963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1" name="$B$6">
            <a:extLst>
              <a:ext uri="{FF2B5EF4-FFF2-40B4-BE49-F238E27FC236}">
                <a16:creationId xmlns:a16="http://schemas.microsoft.com/office/drawing/2014/main" id="{F718BB12-BFD3-4273-9EBD-4813FED1BBA5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2" name="$B$6">
            <a:extLst>
              <a:ext uri="{FF2B5EF4-FFF2-40B4-BE49-F238E27FC236}">
                <a16:creationId xmlns:a16="http://schemas.microsoft.com/office/drawing/2014/main" id="{F6E0D566-06D1-4CE1-A4F4-1EF76BD2E613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63" name="$B$6">
            <a:extLst>
              <a:ext uri="{FF2B5EF4-FFF2-40B4-BE49-F238E27FC236}">
                <a16:creationId xmlns:a16="http://schemas.microsoft.com/office/drawing/2014/main" id="{50ED0788-7281-489B-A394-4AD54ED7B0AA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461091</xdr:colOff>
      <xdr:row>6</xdr:row>
      <xdr:rowOff>0</xdr:rowOff>
    </xdr:from>
    <xdr:to>
      <xdr:col>1</xdr:col>
      <xdr:colOff>1946829</xdr:colOff>
      <xdr:row>7</xdr:row>
      <xdr:rowOff>0</xdr:rowOff>
    </xdr:to>
    <xdr:grpSp>
      <xdr:nvGrpSpPr>
        <xdr:cNvPr id="41712" name="$B$7" descr="Linear barcode, 47 modules" title="1121231111132112311113112111321">
          <a:extLst>
            <a:ext uri="{FF2B5EF4-FFF2-40B4-BE49-F238E27FC236}">
              <a16:creationId xmlns:a16="http://schemas.microsoft.com/office/drawing/2014/main" id="{1BD9B1BB-65F7-4081-B240-7DB617CADDFD}"/>
            </a:ext>
          </a:extLst>
        </xdr:cNvPr>
        <xdr:cNvGrpSpPr>
          <a:grpSpLocks noChangeAspect="1"/>
        </xdr:cNvGrpSpPr>
      </xdr:nvGrpSpPr>
      <xdr:grpSpPr>
        <a:xfrm>
          <a:off x="1428831" y="3931920"/>
          <a:ext cx="1485738" cy="266700"/>
          <a:chOff x="0" y="12700"/>
          <a:chExt cx="596900" cy="12700"/>
        </a:xfrm>
      </xdr:grpSpPr>
      <xdr:sp macro="" textlink="">
        <xdr:nvSpPr>
          <xdr:cNvPr id="41696" name="$B$7">
            <a:extLst>
              <a:ext uri="{FF2B5EF4-FFF2-40B4-BE49-F238E27FC236}">
                <a16:creationId xmlns:a16="http://schemas.microsoft.com/office/drawing/2014/main" id="{C3317F8F-B846-4289-94D0-15A9566AEE5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7" name="$B$7">
            <a:extLst>
              <a:ext uri="{FF2B5EF4-FFF2-40B4-BE49-F238E27FC236}">
                <a16:creationId xmlns:a16="http://schemas.microsoft.com/office/drawing/2014/main" id="{138197F9-5561-4498-B2B0-E805593B67BA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8" name="$B$7">
            <a:extLst>
              <a:ext uri="{FF2B5EF4-FFF2-40B4-BE49-F238E27FC236}">
                <a16:creationId xmlns:a16="http://schemas.microsoft.com/office/drawing/2014/main" id="{29ADA0C2-B48F-4A41-93D2-2F2DD1E363F1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99" name="$B$7">
            <a:extLst>
              <a:ext uri="{FF2B5EF4-FFF2-40B4-BE49-F238E27FC236}">
                <a16:creationId xmlns:a16="http://schemas.microsoft.com/office/drawing/2014/main" id="{292BDA09-CB04-4E6E-A2E9-F2F0F8D42A53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0" name="$B$7">
            <a:extLst>
              <a:ext uri="{FF2B5EF4-FFF2-40B4-BE49-F238E27FC236}">
                <a16:creationId xmlns:a16="http://schemas.microsoft.com/office/drawing/2014/main" id="{A9F55F05-C201-4CD7-8C15-E01C1C6402C9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1" name="$B$7">
            <a:extLst>
              <a:ext uri="{FF2B5EF4-FFF2-40B4-BE49-F238E27FC236}">
                <a16:creationId xmlns:a16="http://schemas.microsoft.com/office/drawing/2014/main" id="{21A0D1A1-8051-4FB8-B378-5DAF59142991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2" name="$B$7">
            <a:extLst>
              <a:ext uri="{FF2B5EF4-FFF2-40B4-BE49-F238E27FC236}">
                <a16:creationId xmlns:a16="http://schemas.microsoft.com/office/drawing/2014/main" id="{523FCDDE-46B5-4AC3-ACF7-B51DCD12A816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3" name="$B$7">
            <a:extLst>
              <a:ext uri="{FF2B5EF4-FFF2-40B4-BE49-F238E27FC236}">
                <a16:creationId xmlns:a16="http://schemas.microsoft.com/office/drawing/2014/main" id="{1B3C5E0D-CDBE-48EA-87E7-B8ED2488BF77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4" name="$B$7">
            <a:extLst>
              <a:ext uri="{FF2B5EF4-FFF2-40B4-BE49-F238E27FC236}">
                <a16:creationId xmlns:a16="http://schemas.microsoft.com/office/drawing/2014/main" id="{5F58D4D2-827E-4F94-A4C1-36556CACE487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5" name="$B$7">
            <a:extLst>
              <a:ext uri="{FF2B5EF4-FFF2-40B4-BE49-F238E27FC236}">
                <a16:creationId xmlns:a16="http://schemas.microsoft.com/office/drawing/2014/main" id="{74D48A04-D745-4556-9286-82490EBE7DBC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6" name="$B$7">
            <a:extLst>
              <a:ext uri="{FF2B5EF4-FFF2-40B4-BE49-F238E27FC236}">
                <a16:creationId xmlns:a16="http://schemas.microsoft.com/office/drawing/2014/main" id="{AB7AE575-F41E-495D-A263-F1B3D79A6FA8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7" name="$B$7">
            <a:extLst>
              <a:ext uri="{FF2B5EF4-FFF2-40B4-BE49-F238E27FC236}">
                <a16:creationId xmlns:a16="http://schemas.microsoft.com/office/drawing/2014/main" id="{2D1497CE-98A0-4581-AFAE-D632DB118D4D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8" name="$B$7">
            <a:extLst>
              <a:ext uri="{FF2B5EF4-FFF2-40B4-BE49-F238E27FC236}">
                <a16:creationId xmlns:a16="http://schemas.microsoft.com/office/drawing/2014/main" id="{D1FE5B2D-EB5E-439C-98E2-57B7D7DBD016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09" name="$B$7">
            <a:extLst>
              <a:ext uri="{FF2B5EF4-FFF2-40B4-BE49-F238E27FC236}">
                <a16:creationId xmlns:a16="http://schemas.microsoft.com/office/drawing/2014/main" id="{16B27931-EB4E-48F9-8346-A10E2F439EB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10" name="$B$7">
            <a:extLst>
              <a:ext uri="{FF2B5EF4-FFF2-40B4-BE49-F238E27FC236}">
                <a16:creationId xmlns:a16="http://schemas.microsoft.com/office/drawing/2014/main" id="{162DFADC-F4B9-499D-B95B-F11B8F19D114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11" name="$B$7">
            <a:extLst>
              <a:ext uri="{FF2B5EF4-FFF2-40B4-BE49-F238E27FC236}">
                <a16:creationId xmlns:a16="http://schemas.microsoft.com/office/drawing/2014/main" id="{E760A544-8D0A-449C-A231-EBEC08D1DF26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1083564</xdr:colOff>
      <xdr:row>7</xdr:row>
      <xdr:rowOff>0</xdr:rowOff>
    </xdr:from>
    <xdr:to>
      <xdr:col>1</xdr:col>
      <xdr:colOff>1324356</xdr:colOff>
      <xdr:row>8</xdr:row>
      <xdr:rowOff>0</xdr:rowOff>
    </xdr:to>
    <xdr:grpSp>
      <xdr:nvGrpSpPr>
        <xdr:cNvPr id="41720" name="$B$8" descr="Linear barcode, 20 modules" title="1123211111321">
          <a:extLst>
            <a:ext uri="{FF2B5EF4-FFF2-40B4-BE49-F238E27FC236}">
              <a16:creationId xmlns:a16="http://schemas.microsoft.com/office/drawing/2014/main" id="{4C68AFC9-3078-41BF-8299-59EF8D78EF9E}"/>
            </a:ext>
          </a:extLst>
        </xdr:cNvPr>
        <xdr:cNvGrpSpPr>
          <a:grpSpLocks noChangeAspect="1"/>
        </xdr:cNvGrpSpPr>
      </xdr:nvGrpSpPr>
      <xdr:grpSpPr>
        <a:xfrm>
          <a:off x="2051304" y="4198620"/>
          <a:ext cx="240792" cy="266700"/>
          <a:chOff x="0" y="12700"/>
          <a:chExt cx="254000" cy="12700"/>
        </a:xfrm>
      </xdr:grpSpPr>
      <xdr:sp macro="" textlink="">
        <xdr:nvSpPr>
          <xdr:cNvPr id="41713" name="$B$8">
            <a:extLst>
              <a:ext uri="{FF2B5EF4-FFF2-40B4-BE49-F238E27FC236}">
                <a16:creationId xmlns:a16="http://schemas.microsoft.com/office/drawing/2014/main" id="{BC519ACA-7C67-4E25-9502-9A938DA6215E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14" name="$B$8">
            <a:extLst>
              <a:ext uri="{FF2B5EF4-FFF2-40B4-BE49-F238E27FC236}">
                <a16:creationId xmlns:a16="http://schemas.microsoft.com/office/drawing/2014/main" id="{21B17778-8206-452C-8940-1F0FDFB37FD1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15" name="$B$8">
            <a:extLst>
              <a:ext uri="{FF2B5EF4-FFF2-40B4-BE49-F238E27FC236}">
                <a16:creationId xmlns:a16="http://schemas.microsoft.com/office/drawing/2014/main" id="{14AB926D-67E7-4407-B329-D6B008FCBE23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16" name="$B$8">
            <a:extLst>
              <a:ext uri="{FF2B5EF4-FFF2-40B4-BE49-F238E27FC236}">
                <a16:creationId xmlns:a16="http://schemas.microsoft.com/office/drawing/2014/main" id="{AC2702B5-D8FF-4363-B8BC-3394D6608EBA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17" name="$B$8">
            <a:extLst>
              <a:ext uri="{FF2B5EF4-FFF2-40B4-BE49-F238E27FC236}">
                <a16:creationId xmlns:a16="http://schemas.microsoft.com/office/drawing/2014/main" id="{ED8B1FA6-F723-4111-B78A-1D2433C7EABC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18" name="$B$8">
            <a:extLst>
              <a:ext uri="{FF2B5EF4-FFF2-40B4-BE49-F238E27FC236}">
                <a16:creationId xmlns:a16="http://schemas.microsoft.com/office/drawing/2014/main" id="{EF103B3F-C38C-4E64-A41D-7CC96C6AED11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19" name="$B$8">
            <a:extLst>
              <a:ext uri="{FF2B5EF4-FFF2-40B4-BE49-F238E27FC236}">
                <a16:creationId xmlns:a16="http://schemas.microsoft.com/office/drawing/2014/main" id="{34CEDC45-7F72-48FD-A6B6-03CD36E1B305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333405</xdr:colOff>
      <xdr:row>8</xdr:row>
      <xdr:rowOff>0</xdr:rowOff>
    </xdr:from>
    <xdr:to>
      <xdr:col>1</xdr:col>
      <xdr:colOff>2074516</xdr:colOff>
      <xdr:row>9</xdr:row>
      <xdr:rowOff>0</xdr:rowOff>
    </xdr:to>
    <xdr:grpSp>
      <xdr:nvGrpSpPr>
        <xdr:cNvPr id="41746" name="$B$9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669353A8-D76B-47E3-A8DD-F18F5D99FCCF}"/>
            </a:ext>
          </a:extLst>
        </xdr:cNvPr>
        <xdr:cNvGrpSpPr>
          <a:grpSpLocks noChangeAspect="1"/>
        </xdr:cNvGrpSpPr>
      </xdr:nvGrpSpPr>
      <xdr:grpSpPr>
        <a:xfrm>
          <a:off x="1301145" y="4465320"/>
          <a:ext cx="1741111" cy="266700"/>
          <a:chOff x="0" y="12700"/>
          <a:chExt cx="812800" cy="12700"/>
        </a:xfrm>
      </xdr:grpSpPr>
      <xdr:sp macro="" textlink="">
        <xdr:nvSpPr>
          <xdr:cNvPr id="41721" name="$B$9">
            <a:extLst>
              <a:ext uri="{FF2B5EF4-FFF2-40B4-BE49-F238E27FC236}">
                <a16:creationId xmlns:a16="http://schemas.microsoft.com/office/drawing/2014/main" id="{6E1EBD6D-DBC9-4CF1-BC9A-5C6BA120188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22" name="$B$9">
            <a:extLst>
              <a:ext uri="{FF2B5EF4-FFF2-40B4-BE49-F238E27FC236}">
                <a16:creationId xmlns:a16="http://schemas.microsoft.com/office/drawing/2014/main" id="{431E57C0-60C0-449E-BD5E-F3EDA61CED2C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23" name="$B$9">
            <a:extLst>
              <a:ext uri="{FF2B5EF4-FFF2-40B4-BE49-F238E27FC236}">
                <a16:creationId xmlns:a16="http://schemas.microsoft.com/office/drawing/2014/main" id="{C40036CE-1914-4244-BE9D-4D185FB73B93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24" name="$B$9">
            <a:extLst>
              <a:ext uri="{FF2B5EF4-FFF2-40B4-BE49-F238E27FC236}">
                <a16:creationId xmlns:a16="http://schemas.microsoft.com/office/drawing/2014/main" id="{A8F50B78-E174-48E8-A8C8-B985A9C3CE32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25" name="$B$9">
            <a:extLst>
              <a:ext uri="{FF2B5EF4-FFF2-40B4-BE49-F238E27FC236}">
                <a16:creationId xmlns:a16="http://schemas.microsoft.com/office/drawing/2014/main" id="{35F324D0-5488-4F90-8F7E-D6BD4D6FC2C9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26" name="$B$9">
            <a:extLst>
              <a:ext uri="{FF2B5EF4-FFF2-40B4-BE49-F238E27FC236}">
                <a16:creationId xmlns:a16="http://schemas.microsoft.com/office/drawing/2014/main" id="{2D0DC2FF-63BC-46C7-A603-17C532BD3729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27" name="$B$9">
            <a:extLst>
              <a:ext uri="{FF2B5EF4-FFF2-40B4-BE49-F238E27FC236}">
                <a16:creationId xmlns:a16="http://schemas.microsoft.com/office/drawing/2014/main" id="{34E0AA2E-EEBC-4C06-AA38-D4C9B9677798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28" name="$B$9">
            <a:extLst>
              <a:ext uri="{FF2B5EF4-FFF2-40B4-BE49-F238E27FC236}">
                <a16:creationId xmlns:a16="http://schemas.microsoft.com/office/drawing/2014/main" id="{AE45F3D6-D1EE-4A39-82E4-BA56950EC198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29" name="$B$9">
            <a:extLst>
              <a:ext uri="{FF2B5EF4-FFF2-40B4-BE49-F238E27FC236}">
                <a16:creationId xmlns:a16="http://schemas.microsoft.com/office/drawing/2014/main" id="{D1166076-73ED-4CAD-9EC0-861689803F73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0" name="$B$9">
            <a:extLst>
              <a:ext uri="{FF2B5EF4-FFF2-40B4-BE49-F238E27FC236}">
                <a16:creationId xmlns:a16="http://schemas.microsoft.com/office/drawing/2014/main" id="{F11B69E0-B11B-445A-8B1C-C5DE866247DF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1" name="$B$9">
            <a:extLst>
              <a:ext uri="{FF2B5EF4-FFF2-40B4-BE49-F238E27FC236}">
                <a16:creationId xmlns:a16="http://schemas.microsoft.com/office/drawing/2014/main" id="{7648DE8B-C762-4F16-BF66-865418FE9C01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2" name="$B$9">
            <a:extLst>
              <a:ext uri="{FF2B5EF4-FFF2-40B4-BE49-F238E27FC236}">
                <a16:creationId xmlns:a16="http://schemas.microsoft.com/office/drawing/2014/main" id="{5053D0F3-C8EE-4619-9265-C4412D71B7C9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3" name="$B$9">
            <a:extLst>
              <a:ext uri="{FF2B5EF4-FFF2-40B4-BE49-F238E27FC236}">
                <a16:creationId xmlns:a16="http://schemas.microsoft.com/office/drawing/2014/main" id="{63151C72-E1E6-4E57-B1C7-0EE0C8A096DE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4" name="$B$9">
            <a:extLst>
              <a:ext uri="{FF2B5EF4-FFF2-40B4-BE49-F238E27FC236}">
                <a16:creationId xmlns:a16="http://schemas.microsoft.com/office/drawing/2014/main" id="{EDFCF295-39CF-4C26-A020-7BAE4B58617E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5" name="$B$9">
            <a:extLst>
              <a:ext uri="{FF2B5EF4-FFF2-40B4-BE49-F238E27FC236}">
                <a16:creationId xmlns:a16="http://schemas.microsoft.com/office/drawing/2014/main" id="{501222AC-6312-4292-8AE4-190D4675418D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6" name="$B$9">
            <a:extLst>
              <a:ext uri="{FF2B5EF4-FFF2-40B4-BE49-F238E27FC236}">
                <a16:creationId xmlns:a16="http://schemas.microsoft.com/office/drawing/2014/main" id="{347AC57B-817F-4762-8150-6BE922AF6D6C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7" name="$B$9">
            <a:extLst>
              <a:ext uri="{FF2B5EF4-FFF2-40B4-BE49-F238E27FC236}">
                <a16:creationId xmlns:a16="http://schemas.microsoft.com/office/drawing/2014/main" id="{AAA3175D-C996-410B-BC6B-2E50B86463A6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8" name="$B$9">
            <a:extLst>
              <a:ext uri="{FF2B5EF4-FFF2-40B4-BE49-F238E27FC236}">
                <a16:creationId xmlns:a16="http://schemas.microsoft.com/office/drawing/2014/main" id="{96608D3E-1218-46C1-BCC7-23B380CAA4F1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39" name="$B$9">
            <a:extLst>
              <a:ext uri="{FF2B5EF4-FFF2-40B4-BE49-F238E27FC236}">
                <a16:creationId xmlns:a16="http://schemas.microsoft.com/office/drawing/2014/main" id="{1BCD34D4-CC36-4A39-8391-0384A59AEA4A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40" name="$B$9">
            <a:extLst>
              <a:ext uri="{FF2B5EF4-FFF2-40B4-BE49-F238E27FC236}">
                <a16:creationId xmlns:a16="http://schemas.microsoft.com/office/drawing/2014/main" id="{18BA75C0-00C0-4EDC-BD57-8304F1B16928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41" name="$B$9">
            <a:extLst>
              <a:ext uri="{FF2B5EF4-FFF2-40B4-BE49-F238E27FC236}">
                <a16:creationId xmlns:a16="http://schemas.microsoft.com/office/drawing/2014/main" id="{541CDE1E-AD34-4CE8-B1EA-B0B581EF19C2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42" name="$B$9">
            <a:extLst>
              <a:ext uri="{FF2B5EF4-FFF2-40B4-BE49-F238E27FC236}">
                <a16:creationId xmlns:a16="http://schemas.microsoft.com/office/drawing/2014/main" id="{A86A1132-DB1C-405C-A0FC-24C14ADB1DDA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43" name="$B$9">
            <a:extLst>
              <a:ext uri="{FF2B5EF4-FFF2-40B4-BE49-F238E27FC236}">
                <a16:creationId xmlns:a16="http://schemas.microsoft.com/office/drawing/2014/main" id="{D0FFC672-3257-4243-B98F-7186F9E52A34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44" name="$B$9">
            <a:extLst>
              <a:ext uri="{FF2B5EF4-FFF2-40B4-BE49-F238E27FC236}">
                <a16:creationId xmlns:a16="http://schemas.microsoft.com/office/drawing/2014/main" id="{0DF50AAB-4360-4177-A5CC-AA7C41E31457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45" name="$B$9">
            <a:extLst>
              <a:ext uri="{FF2B5EF4-FFF2-40B4-BE49-F238E27FC236}">
                <a16:creationId xmlns:a16="http://schemas.microsoft.com/office/drawing/2014/main" id="{383773E9-10CC-4153-943C-3992175B1ED9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309589</xdr:colOff>
      <xdr:row>9</xdr:row>
      <xdr:rowOff>0</xdr:rowOff>
    </xdr:from>
    <xdr:to>
      <xdr:col>1</xdr:col>
      <xdr:colOff>2098330</xdr:colOff>
      <xdr:row>10</xdr:row>
      <xdr:rowOff>0</xdr:rowOff>
    </xdr:to>
    <xdr:grpSp>
      <xdr:nvGrpSpPr>
        <xdr:cNvPr id="41774" name="$B$10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CF94E0CC-33F6-43B0-9633-DD98B9F8F0FB}"/>
            </a:ext>
          </a:extLst>
        </xdr:cNvPr>
        <xdr:cNvGrpSpPr>
          <a:grpSpLocks noChangeAspect="1"/>
        </xdr:cNvGrpSpPr>
      </xdr:nvGrpSpPr>
      <xdr:grpSpPr>
        <a:xfrm>
          <a:off x="1277329" y="4732020"/>
          <a:ext cx="1788741" cy="266700"/>
          <a:chOff x="0" y="12700"/>
          <a:chExt cx="889000" cy="12700"/>
        </a:xfrm>
      </xdr:grpSpPr>
      <xdr:sp macro="" textlink="">
        <xdr:nvSpPr>
          <xdr:cNvPr id="41747" name="$B$10">
            <a:extLst>
              <a:ext uri="{FF2B5EF4-FFF2-40B4-BE49-F238E27FC236}">
                <a16:creationId xmlns:a16="http://schemas.microsoft.com/office/drawing/2014/main" id="{9D901963-6855-4F94-88AC-DF9F805AB058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48" name="$B$10">
            <a:extLst>
              <a:ext uri="{FF2B5EF4-FFF2-40B4-BE49-F238E27FC236}">
                <a16:creationId xmlns:a16="http://schemas.microsoft.com/office/drawing/2014/main" id="{09F5ADC8-D746-4A10-A0A3-9E286F1B7050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49" name="$B$10">
            <a:extLst>
              <a:ext uri="{FF2B5EF4-FFF2-40B4-BE49-F238E27FC236}">
                <a16:creationId xmlns:a16="http://schemas.microsoft.com/office/drawing/2014/main" id="{50DF959C-B262-4D26-9A33-7739CC9C534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0" name="$B$10">
            <a:extLst>
              <a:ext uri="{FF2B5EF4-FFF2-40B4-BE49-F238E27FC236}">
                <a16:creationId xmlns:a16="http://schemas.microsoft.com/office/drawing/2014/main" id="{AB0A7478-23B5-45BB-B2F9-B6BFD128B18C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1" name="$B$10">
            <a:extLst>
              <a:ext uri="{FF2B5EF4-FFF2-40B4-BE49-F238E27FC236}">
                <a16:creationId xmlns:a16="http://schemas.microsoft.com/office/drawing/2014/main" id="{2E5D9C69-38B6-44D7-A3AF-E930476C8E17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2" name="$B$10">
            <a:extLst>
              <a:ext uri="{FF2B5EF4-FFF2-40B4-BE49-F238E27FC236}">
                <a16:creationId xmlns:a16="http://schemas.microsoft.com/office/drawing/2014/main" id="{439DC6B5-7BCD-442F-8E47-F34CC1876053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3" name="$B$10">
            <a:extLst>
              <a:ext uri="{FF2B5EF4-FFF2-40B4-BE49-F238E27FC236}">
                <a16:creationId xmlns:a16="http://schemas.microsoft.com/office/drawing/2014/main" id="{D8497204-2B4B-48CB-B969-09A1186E2670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4" name="$B$10">
            <a:extLst>
              <a:ext uri="{FF2B5EF4-FFF2-40B4-BE49-F238E27FC236}">
                <a16:creationId xmlns:a16="http://schemas.microsoft.com/office/drawing/2014/main" id="{BDF04FB7-4641-4053-9F1F-89226538BD11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5" name="$B$10">
            <a:extLst>
              <a:ext uri="{FF2B5EF4-FFF2-40B4-BE49-F238E27FC236}">
                <a16:creationId xmlns:a16="http://schemas.microsoft.com/office/drawing/2014/main" id="{B9402B53-E60E-4A4B-AB1F-123CC3A4987B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6" name="$B$10">
            <a:extLst>
              <a:ext uri="{FF2B5EF4-FFF2-40B4-BE49-F238E27FC236}">
                <a16:creationId xmlns:a16="http://schemas.microsoft.com/office/drawing/2014/main" id="{12C8519D-534B-4913-84A3-65AC7CCA591F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7" name="$B$10">
            <a:extLst>
              <a:ext uri="{FF2B5EF4-FFF2-40B4-BE49-F238E27FC236}">
                <a16:creationId xmlns:a16="http://schemas.microsoft.com/office/drawing/2014/main" id="{F0551082-233B-42DC-A2FA-0BF7005DBC75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8" name="$B$10">
            <a:extLst>
              <a:ext uri="{FF2B5EF4-FFF2-40B4-BE49-F238E27FC236}">
                <a16:creationId xmlns:a16="http://schemas.microsoft.com/office/drawing/2014/main" id="{BAC0A945-3F3F-4C50-AE9F-3F194C21D212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59" name="$B$10">
            <a:extLst>
              <a:ext uri="{FF2B5EF4-FFF2-40B4-BE49-F238E27FC236}">
                <a16:creationId xmlns:a16="http://schemas.microsoft.com/office/drawing/2014/main" id="{BB67F89D-B3EF-49D1-9A3C-60C028897541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0" name="$B$10">
            <a:extLst>
              <a:ext uri="{FF2B5EF4-FFF2-40B4-BE49-F238E27FC236}">
                <a16:creationId xmlns:a16="http://schemas.microsoft.com/office/drawing/2014/main" id="{DF14A9C4-3811-4906-B3E7-60B4A35BAB79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1" name="$B$10">
            <a:extLst>
              <a:ext uri="{FF2B5EF4-FFF2-40B4-BE49-F238E27FC236}">
                <a16:creationId xmlns:a16="http://schemas.microsoft.com/office/drawing/2014/main" id="{70D1FF5B-0324-4067-A4C0-FA32714825A0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2" name="$B$10">
            <a:extLst>
              <a:ext uri="{FF2B5EF4-FFF2-40B4-BE49-F238E27FC236}">
                <a16:creationId xmlns:a16="http://schemas.microsoft.com/office/drawing/2014/main" id="{58302D1C-A0E0-4715-BCAC-13B446FB448F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3" name="$B$10">
            <a:extLst>
              <a:ext uri="{FF2B5EF4-FFF2-40B4-BE49-F238E27FC236}">
                <a16:creationId xmlns:a16="http://schemas.microsoft.com/office/drawing/2014/main" id="{6E63011A-FFC3-4ED4-B7DD-19F543BC6DCC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4" name="$B$10">
            <a:extLst>
              <a:ext uri="{FF2B5EF4-FFF2-40B4-BE49-F238E27FC236}">
                <a16:creationId xmlns:a16="http://schemas.microsoft.com/office/drawing/2014/main" id="{85A282B6-B650-4E24-A0C3-7E5499FB30EA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5" name="$B$10">
            <a:extLst>
              <a:ext uri="{FF2B5EF4-FFF2-40B4-BE49-F238E27FC236}">
                <a16:creationId xmlns:a16="http://schemas.microsoft.com/office/drawing/2014/main" id="{3ADB07FA-B7C6-43C2-AAF4-CED16143D6CF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6" name="$B$10">
            <a:extLst>
              <a:ext uri="{FF2B5EF4-FFF2-40B4-BE49-F238E27FC236}">
                <a16:creationId xmlns:a16="http://schemas.microsoft.com/office/drawing/2014/main" id="{DB62820A-E1FF-47AD-8647-14921540FC1F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7" name="$B$10">
            <a:extLst>
              <a:ext uri="{FF2B5EF4-FFF2-40B4-BE49-F238E27FC236}">
                <a16:creationId xmlns:a16="http://schemas.microsoft.com/office/drawing/2014/main" id="{239B0E8D-3AD1-42C2-90D1-278880C52D87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8" name="$B$10">
            <a:extLst>
              <a:ext uri="{FF2B5EF4-FFF2-40B4-BE49-F238E27FC236}">
                <a16:creationId xmlns:a16="http://schemas.microsoft.com/office/drawing/2014/main" id="{25D84BA9-0DF1-43C5-BC4D-382D6795CE9D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69" name="$B$10">
            <a:extLst>
              <a:ext uri="{FF2B5EF4-FFF2-40B4-BE49-F238E27FC236}">
                <a16:creationId xmlns:a16="http://schemas.microsoft.com/office/drawing/2014/main" id="{E6C8D0BF-C7FB-45E6-924C-B079BA7C433E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70" name="$B$10">
            <a:extLst>
              <a:ext uri="{FF2B5EF4-FFF2-40B4-BE49-F238E27FC236}">
                <a16:creationId xmlns:a16="http://schemas.microsoft.com/office/drawing/2014/main" id="{66D4A000-D67A-4095-9A27-E00FC5F48819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71" name="$B$10">
            <a:extLst>
              <a:ext uri="{FF2B5EF4-FFF2-40B4-BE49-F238E27FC236}">
                <a16:creationId xmlns:a16="http://schemas.microsoft.com/office/drawing/2014/main" id="{3E25173E-5C63-4EC1-B126-AA539BA43C76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72" name="$B$10">
            <a:extLst>
              <a:ext uri="{FF2B5EF4-FFF2-40B4-BE49-F238E27FC236}">
                <a16:creationId xmlns:a16="http://schemas.microsoft.com/office/drawing/2014/main" id="{576390E6-F380-433B-BA55-6E7EEDF79CCF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73" name="$B$10">
            <a:extLst>
              <a:ext uri="{FF2B5EF4-FFF2-40B4-BE49-F238E27FC236}">
                <a16:creationId xmlns:a16="http://schemas.microsoft.com/office/drawing/2014/main" id="{36D99B56-9114-42AA-AD61-3B212FD0711D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216713</xdr:colOff>
      <xdr:row>10</xdr:row>
      <xdr:rowOff>0</xdr:rowOff>
    </xdr:from>
    <xdr:to>
      <xdr:col>1</xdr:col>
      <xdr:colOff>2191207</xdr:colOff>
      <xdr:row>11</xdr:row>
      <xdr:rowOff>0</xdr:rowOff>
    </xdr:to>
    <xdr:grpSp>
      <xdr:nvGrpSpPr>
        <xdr:cNvPr id="41809" name="$B$11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D9E1BAA4-AE01-4FD7-A968-7FD0D420CB18}"/>
            </a:ext>
          </a:extLst>
        </xdr:cNvPr>
        <xdr:cNvGrpSpPr>
          <a:grpSpLocks noChangeAspect="1"/>
        </xdr:cNvGrpSpPr>
      </xdr:nvGrpSpPr>
      <xdr:grpSpPr>
        <a:xfrm>
          <a:off x="1184453" y="4998720"/>
          <a:ext cx="1974494" cy="266700"/>
          <a:chOff x="0" y="12700"/>
          <a:chExt cx="1270000" cy="12700"/>
        </a:xfrm>
      </xdr:grpSpPr>
      <xdr:sp macro="" textlink="">
        <xdr:nvSpPr>
          <xdr:cNvPr id="41775" name="$B$11">
            <a:extLst>
              <a:ext uri="{FF2B5EF4-FFF2-40B4-BE49-F238E27FC236}">
                <a16:creationId xmlns:a16="http://schemas.microsoft.com/office/drawing/2014/main" id="{DC1B290A-5A37-4565-BB8D-FEB03AA7F8E1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76" name="$B$11">
            <a:extLst>
              <a:ext uri="{FF2B5EF4-FFF2-40B4-BE49-F238E27FC236}">
                <a16:creationId xmlns:a16="http://schemas.microsoft.com/office/drawing/2014/main" id="{5D6C2ACE-BB07-4DBC-8377-C32CF946ED94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77" name="$B$11">
            <a:extLst>
              <a:ext uri="{FF2B5EF4-FFF2-40B4-BE49-F238E27FC236}">
                <a16:creationId xmlns:a16="http://schemas.microsoft.com/office/drawing/2014/main" id="{A2924477-45B5-41C8-8A6A-471085ED4651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78" name="$B$11">
            <a:extLst>
              <a:ext uri="{FF2B5EF4-FFF2-40B4-BE49-F238E27FC236}">
                <a16:creationId xmlns:a16="http://schemas.microsoft.com/office/drawing/2014/main" id="{F3FAFB72-2431-4DFF-99AF-E67F8B64DEF6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79" name="$B$11">
            <a:extLst>
              <a:ext uri="{FF2B5EF4-FFF2-40B4-BE49-F238E27FC236}">
                <a16:creationId xmlns:a16="http://schemas.microsoft.com/office/drawing/2014/main" id="{F84F1095-79DB-4E67-96E4-40827B1A856C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0" name="$B$11">
            <a:extLst>
              <a:ext uri="{FF2B5EF4-FFF2-40B4-BE49-F238E27FC236}">
                <a16:creationId xmlns:a16="http://schemas.microsoft.com/office/drawing/2014/main" id="{03F34FF3-185F-4405-9204-0FB19F513E08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1" name="$B$11">
            <a:extLst>
              <a:ext uri="{FF2B5EF4-FFF2-40B4-BE49-F238E27FC236}">
                <a16:creationId xmlns:a16="http://schemas.microsoft.com/office/drawing/2014/main" id="{C7A3ECB4-EC7C-48E2-93A4-3D6D89CF4805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2" name="$B$11">
            <a:extLst>
              <a:ext uri="{FF2B5EF4-FFF2-40B4-BE49-F238E27FC236}">
                <a16:creationId xmlns:a16="http://schemas.microsoft.com/office/drawing/2014/main" id="{338CB5FC-47DD-4652-AD91-9C2463177ECA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3" name="$B$11">
            <a:extLst>
              <a:ext uri="{FF2B5EF4-FFF2-40B4-BE49-F238E27FC236}">
                <a16:creationId xmlns:a16="http://schemas.microsoft.com/office/drawing/2014/main" id="{12400ECF-660E-43BA-BE98-F7AE954072DA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4" name="$B$11">
            <a:extLst>
              <a:ext uri="{FF2B5EF4-FFF2-40B4-BE49-F238E27FC236}">
                <a16:creationId xmlns:a16="http://schemas.microsoft.com/office/drawing/2014/main" id="{DAB7C3CA-8C98-44B7-A1BD-16BE6D5EB61B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5" name="$B$11">
            <a:extLst>
              <a:ext uri="{FF2B5EF4-FFF2-40B4-BE49-F238E27FC236}">
                <a16:creationId xmlns:a16="http://schemas.microsoft.com/office/drawing/2014/main" id="{B78EEC0A-C33C-4083-841D-79DE5A76CFE2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6" name="$B$11">
            <a:extLst>
              <a:ext uri="{FF2B5EF4-FFF2-40B4-BE49-F238E27FC236}">
                <a16:creationId xmlns:a16="http://schemas.microsoft.com/office/drawing/2014/main" id="{6D22740C-3B2B-42BC-8AB8-78DDAD8D97B1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7" name="$B$11">
            <a:extLst>
              <a:ext uri="{FF2B5EF4-FFF2-40B4-BE49-F238E27FC236}">
                <a16:creationId xmlns:a16="http://schemas.microsoft.com/office/drawing/2014/main" id="{6F534E63-8AA3-44C4-B6B4-CB38CDB7ECE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8" name="$B$11">
            <a:extLst>
              <a:ext uri="{FF2B5EF4-FFF2-40B4-BE49-F238E27FC236}">
                <a16:creationId xmlns:a16="http://schemas.microsoft.com/office/drawing/2014/main" id="{3E8BC467-9443-4782-9773-2C23B59EEC41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89" name="$B$11">
            <a:extLst>
              <a:ext uri="{FF2B5EF4-FFF2-40B4-BE49-F238E27FC236}">
                <a16:creationId xmlns:a16="http://schemas.microsoft.com/office/drawing/2014/main" id="{0DF386D9-50CF-4D33-AFA2-F9F69AD9E4B5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0" name="$B$11">
            <a:extLst>
              <a:ext uri="{FF2B5EF4-FFF2-40B4-BE49-F238E27FC236}">
                <a16:creationId xmlns:a16="http://schemas.microsoft.com/office/drawing/2014/main" id="{E0F68D9A-28FB-43B2-94C8-E43926414AB2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1" name="$B$11">
            <a:extLst>
              <a:ext uri="{FF2B5EF4-FFF2-40B4-BE49-F238E27FC236}">
                <a16:creationId xmlns:a16="http://schemas.microsoft.com/office/drawing/2014/main" id="{0256365F-8074-42FA-B049-65C927CC9D62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2" name="$B$11">
            <a:extLst>
              <a:ext uri="{FF2B5EF4-FFF2-40B4-BE49-F238E27FC236}">
                <a16:creationId xmlns:a16="http://schemas.microsoft.com/office/drawing/2014/main" id="{96C76103-EBF5-4711-862E-408E33EFF3B4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3" name="$B$11">
            <a:extLst>
              <a:ext uri="{FF2B5EF4-FFF2-40B4-BE49-F238E27FC236}">
                <a16:creationId xmlns:a16="http://schemas.microsoft.com/office/drawing/2014/main" id="{CF145E6B-DCF8-4CC0-9B42-BB4859AFD283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4" name="$B$11">
            <a:extLst>
              <a:ext uri="{FF2B5EF4-FFF2-40B4-BE49-F238E27FC236}">
                <a16:creationId xmlns:a16="http://schemas.microsoft.com/office/drawing/2014/main" id="{FEC20EBD-A098-43DC-824E-D2D2A6F665CD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5" name="$B$11">
            <a:extLst>
              <a:ext uri="{FF2B5EF4-FFF2-40B4-BE49-F238E27FC236}">
                <a16:creationId xmlns:a16="http://schemas.microsoft.com/office/drawing/2014/main" id="{0D5FCED6-AD88-4850-9CD7-DEAF4710A6F5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6" name="$B$11">
            <a:extLst>
              <a:ext uri="{FF2B5EF4-FFF2-40B4-BE49-F238E27FC236}">
                <a16:creationId xmlns:a16="http://schemas.microsoft.com/office/drawing/2014/main" id="{E9B0AE01-16E1-4F5E-A667-C964DC21C6E3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7" name="$B$11">
            <a:extLst>
              <a:ext uri="{FF2B5EF4-FFF2-40B4-BE49-F238E27FC236}">
                <a16:creationId xmlns:a16="http://schemas.microsoft.com/office/drawing/2014/main" id="{B2E5E4F2-9A33-4BEC-9F5D-C2773C757EF9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8" name="$B$11">
            <a:extLst>
              <a:ext uri="{FF2B5EF4-FFF2-40B4-BE49-F238E27FC236}">
                <a16:creationId xmlns:a16="http://schemas.microsoft.com/office/drawing/2014/main" id="{571D787C-9827-4F04-918D-66654760C2B6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99" name="$B$11">
            <a:extLst>
              <a:ext uri="{FF2B5EF4-FFF2-40B4-BE49-F238E27FC236}">
                <a16:creationId xmlns:a16="http://schemas.microsoft.com/office/drawing/2014/main" id="{09185630-414D-447A-8E4A-E869565CAC09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0" name="$B$11">
            <a:extLst>
              <a:ext uri="{FF2B5EF4-FFF2-40B4-BE49-F238E27FC236}">
                <a16:creationId xmlns:a16="http://schemas.microsoft.com/office/drawing/2014/main" id="{0D894946-2303-479B-9588-A1FFDC4631E1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1" name="$B$11">
            <a:extLst>
              <a:ext uri="{FF2B5EF4-FFF2-40B4-BE49-F238E27FC236}">
                <a16:creationId xmlns:a16="http://schemas.microsoft.com/office/drawing/2014/main" id="{0131022A-91F7-4DBE-B76A-597D6180C3BA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2" name="$B$11">
            <a:extLst>
              <a:ext uri="{FF2B5EF4-FFF2-40B4-BE49-F238E27FC236}">
                <a16:creationId xmlns:a16="http://schemas.microsoft.com/office/drawing/2014/main" id="{FC133483-3F6A-42FA-97D5-6FC13D7A5F66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3" name="$B$11">
            <a:extLst>
              <a:ext uri="{FF2B5EF4-FFF2-40B4-BE49-F238E27FC236}">
                <a16:creationId xmlns:a16="http://schemas.microsoft.com/office/drawing/2014/main" id="{CF158B2D-121A-4E14-B136-A2F842C38310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4" name="$B$11">
            <a:extLst>
              <a:ext uri="{FF2B5EF4-FFF2-40B4-BE49-F238E27FC236}">
                <a16:creationId xmlns:a16="http://schemas.microsoft.com/office/drawing/2014/main" id="{343FE366-51CD-41D5-81B1-269E890BAFD1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5" name="$B$11">
            <a:extLst>
              <a:ext uri="{FF2B5EF4-FFF2-40B4-BE49-F238E27FC236}">
                <a16:creationId xmlns:a16="http://schemas.microsoft.com/office/drawing/2014/main" id="{79F16AFA-F8BB-4577-A7BB-BA6CAA1A0F3F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6" name="$B$11">
            <a:extLst>
              <a:ext uri="{FF2B5EF4-FFF2-40B4-BE49-F238E27FC236}">
                <a16:creationId xmlns:a16="http://schemas.microsoft.com/office/drawing/2014/main" id="{D5279DE2-75B5-4FED-A00B-248D7A84107A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7" name="$B$11">
            <a:extLst>
              <a:ext uri="{FF2B5EF4-FFF2-40B4-BE49-F238E27FC236}">
                <a16:creationId xmlns:a16="http://schemas.microsoft.com/office/drawing/2014/main" id="{E92C9EA9-8371-4BF9-9A0D-507E5DFE207B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08" name="$B$11">
            <a:extLst>
              <a:ext uri="{FF2B5EF4-FFF2-40B4-BE49-F238E27FC236}">
                <a16:creationId xmlns:a16="http://schemas.microsoft.com/office/drawing/2014/main" id="{9BCC4747-F9C4-4A53-8224-20BFDECE0360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228841</xdr:colOff>
      <xdr:row>0</xdr:row>
      <xdr:rowOff>0</xdr:rowOff>
    </xdr:from>
    <xdr:to>
      <xdr:col>1</xdr:col>
      <xdr:colOff>2186700</xdr:colOff>
      <xdr:row>1</xdr:row>
      <xdr:rowOff>0</xdr:rowOff>
    </xdr:to>
    <xdr:grpSp>
      <xdr:nvGrpSpPr>
        <xdr:cNvPr id="32" name="$B$1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1E161E46-6201-421B-BDB4-37CBB7312388}"/>
            </a:ext>
          </a:extLst>
        </xdr:cNvPr>
        <xdr:cNvGrpSpPr>
          <a:grpSpLocks noChangeAspect="1"/>
        </xdr:cNvGrpSpPr>
      </xdr:nvGrpSpPr>
      <xdr:grpSpPr>
        <a:xfrm>
          <a:off x="1196581" y="0"/>
          <a:ext cx="1957859" cy="365760"/>
          <a:chOff x="0" y="12700"/>
          <a:chExt cx="1206500" cy="12700"/>
        </a:xfrm>
      </xdr:grpSpPr>
      <xdr:sp macro="" textlink="">
        <xdr:nvSpPr>
          <xdr:cNvPr id="2" name="$B$1">
            <a:extLst>
              <a:ext uri="{FF2B5EF4-FFF2-40B4-BE49-F238E27FC236}">
                <a16:creationId xmlns:a16="http://schemas.microsoft.com/office/drawing/2014/main" id="{EF758412-53BC-433B-949B-F70A44A4A1E4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$B$1">
            <a:extLst>
              <a:ext uri="{FF2B5EF4-FFF2-40B4-BE49-F238E27FC236}">
                <a16:creationId xmlns:a16="http://schemas.microsoft.com/office/drawing/2014/main" id="{49F17E1D-E063-41F6-97E6-359B1E175213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$B$1">
            <a:extLst>
              <a:ext uri="{FF2B5EF4-FFF2-40B4-BE49-F238E27FC236}">
                <a16:creationId xmlns:a16="http://schemas.microsoft.com/office/drawing/2014/main" id="{09F1042F-547A-414B-AD46-95CF64529692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$B$1">
            <a:extLst>
              <a:ext uri="{FF2B5EF4-FFF2-40B4-BE49-F238E27FC236}">
                <a16:creationId xmlns:a16="http://schemas.microsoft.com/office/drawing/2014/main" id="{B3437FAC-B602-4CB9-BE34-F0286E575A9A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$B$1">
            <a:extLst>
              <a:ext uri="{FF2B5EF4-FFF2-40B4-BE49-F238E27FC236}">
                <a16:creationId xmlns:a16="http://schemas.microsoft.com/office/drawing/2014/main" id="{1908CDC7-21D1-47F0-A3DF-64C2C59C4D12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$B$1">
            <a:extLst>
              <a:ext uri="{FF2B5EF4-FFF2-40B4-BE49-F238E27FC236}">
                <a16:creationId xmlns:a16="http://schemas.microsoft.com/office/drawing/2014/main" id="{F26BB96B-845D-40AA-AC41-EA0F80678D6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$B$1">
            <a:extLst>
              <a:ext uri="{FF2B5EF4-FFF2-40B4-BE49-F238E27FC236}">
                <a16:creationId xmlns:a16="http://schemas.microsoft.com/office/drawing/2014/main" id="{82210C71-0206-4F8B-A739-7E1BA266D90C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$B$1">
            <a:extLst>
              <a:ext uri="{FF2B5EF4-FFF2-40B4-BE49-F238E27FC236}">
                <a16:creationId xmlns:a16="http://schemas.microsoft.com/office/drawing/2014/main" id="{D7A9C33B-4333-4F44-A3F5-D22B3E370FE9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$B$1">
            <a:extLst>
              <a:ext uri="{FF2B5EF4-FFF2-40B4-BE49-F238E27FC236}">
                <a16:creationId xmlns:a16="http://schemas.microsoft.com/office/drawing/2014/main" id="{72AF565D-6E54-4A92-B559-19D43030C93A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$B$1">
            <a:extLst>
              <a:ext uri="{FF2B5EF4-FFF2-40B4-BE49-F238E27FC236}">
                <a16:creationId xmlns:a16="http://schemas.microsoft.com/office/drawing/2014/main" id="{20D60E26-26FB-4FA7-8C99-E06AFB30D00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$B$1">
            <a:extLst>
              <a:ext uri="{FF2B5EF4-FFF2-40B4-BE49-F238E27FC236}">
                <a16:creationId xmlns:a16="http://schemas.microsoft.com/office/drawing/2014/main" id="{5E0F0FBD-4623-4525-8E88-DACE3CEE0A7C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$B$1">
            <a:extLst>
              <a:ext uri="{FF2B5EF4-FFF2-40B4-BE49-F238E27FC236}">
                <a16:creationId xmlns:a16="http://schemas.microsoft.com/office/drawing/2014/main" id="{338E5394-6B7C-4B0E-96C2-F9693D2DDCA3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$B$1">
            <a:extLst>
              <a:ext uri="{FF2B5EF4-FFF2-40B4-BE49-F238E27FC236}">
                <a16:creationId xmlns:a16="http://schemas.microsoft.com/office/drawing/2014/main" id="{B7635A38-18AE-44BA-9067-047C4C257264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$B$1">
            <a:extLst>
              <a:ext uri="{FF2B5EF4-FFF2-40B4-BE49-F238E27FC236}">
                <a16:creationId xmlns:a16="http://schemas.microsoft.com/office/drawing/2014/main" id="{7B93725C-E08A-436C-9C10-ED68B82C1E63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$B$1">
            <a:extLst>
              <a:ext uri="{FF2B5EF4-FFF2-40B4-BE49-F238E27FC236}">
                <a16:creationId xmlns:a16="http://schemas.microsoft.com/office/drawing/2014/main" id="{EE87DABA-C727-45AF-9898-05CA5EF85AC0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$B$1">
            <a:extLst>
              <a:ext uri="{FF2B5EF4-FFF2-40B4-BE49-F238E27FC236}">
                <a16:creationId xmlns:a16="http://schemas.microsoft.com/office/drawing/2014/main" id="{14751151-7999-4432-8341-596977FE1C32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$B$1">
            <a:extLst>
              <a:ext uri="{FF2B5EF4-FFF2-40B4-BE49-F238E27FC236}">
                <a16:creationId xmlns:a16="http://schemas.microsoft.com/office/drawing/2014/main" id="{A2C8A1CD-9A04-4B5B-9EF2-0C9D4EBCA0C5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$B$1">
            <a:extLst>
              <a:ext uri="{FF2B5EF4-FFF2-40B4-BE49-F238E27FC236}">
                <a16:creationId xmlns:a16="http://schemas.microsoft.com/office/drawing/2014/main" id="{C71F3A64-A4BA-4BE4-84BF-B2F177CFE18B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$B$1">
            <a:extLst>
              <a:ext uri="{FF2B5EF4-FFF2-40B4-BE49-F238E27FC236}">
                <a16:creationId xmlns:a16="http://schemas.microsoft.com/office/drawing/2014/main" id="{D2D2D0DC-C609-437B-B842-6E679FB88BA7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$B$1">
            <a:extLst>
              <a:ext uri="{FF2B5EF4-FFF2-40B4-BE49-F238E27FC236}">
                <a16:creationId xmlns:a16="http://schemas.microsoft.com/office/drawing/2014/main" id="{0ED04945-A129-4DBE-BF87-3726E45D051C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$B$1">
            <a:extLst>
              <a:ext uri="{FF2B5EF4-FFF2-40B4-BE49-F238E27FC236}">
                <a16:creationId xmlns:a16="http://schemas.microsoft.com/office/drawing/2014/main" id="{CC20EFC7-2518-443C-A266-BAEAA90AABA6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$B$1">
            <a:extLst>
              <a:ext uri="{FF2B5EF4-FFF2-40B4-BE49-F238E27FC236}">
                <a16:creationId xmlns:a16="http://schemas.microsoft.com/office/drawing/2014/main" id="{08D610BF-25F1-4028-91CB-D90B50B5F8F2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$B$1">
            <a:extLst>
              <a:ext uri="{FF2B5EF4-FFF2-40B4-BE49-F238E27FC236}">
                <a16:creationId xmlns:a16="http://schemas.microsoft.com/office/drawing/2014/main" id="{6C974579-86E4-474C-A8BE-57F810B978DA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$B$1">
            <a:extLst>
              <a:ext uri="{FF2B5EF4-FFF2-40B4-BE49-F238E27FC236}">
                <a16:creationId xmlns:a16="http://schemas.microsoft.com/office/drawing/2014/main" id="{D5ED376B-F445-4CBA-A58B-E9B561E97046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$B$1">
            <a:extLst>
              <a:ext uri="{FF2B5EF4-FFF2-40B4-BE49-F238E27FC236}">
                <a16:creationId xmlns:a16="http://schemas.microsoft.com/office/drawing/2014/main" id="{7655691F-CC98-4AFD-AD52-9F0238FC7D4A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$B$1">
            <a:extLst>
              <a:ext uri="{FF2B5EF4-FFF2-40B4-BE49-F238E27FC236}">
                <a16:creationId xmlns:a16="http://schemas.microsoft.com/office/drawing/2014/main" id="{15B942F4-4A97-4EB7-8E96-ACF64AE90FAA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$B$1">
            <a:extLst>
              <a:ext uri="{FF2B5EF4-FFF2-40B4-BE49-F238E27FC236}">
                <a16:creationId xmlns:a16="http://schemas.microsoft.com/office/drawing/2014/main" id="{D1FBC74A-A373-4E8A-987F-8AF9848E0CB7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$B$1">
            <a:extLst>
              <a:ext uri="{FF2B5EF4-FFF2-40B4-BE49-F238E27FC236}">
                <a16:creationId xmlns:a16="http://schemas.microsoft.com/office/drawing/2014/main" id="{C57DEC59-B99F-45F8-AE8F-960E780168F4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$B$1">
            <a:extLst>
              <a:ext uri="{FF2B5EF4-FFF2-40B4-BE49-F238E27FC236}">
                <a16:creationId xmlns:a16="http://schemas.microsoft.com/office/drawing/2014/main" id="{5E10629F-B406-4E4E-8283-0184CD939DF4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$B$1">
            <a:extLst>
              <a:ext uri="{FF2B5EF4-FFF2-40B4-BE49-F238E27FC236}">
                <a16:creationId xmlns:a16="http://schemas.microsoft.com/office/drawing/2014/main" id="{2224CA93-AD09-45F9-93C5-6A2E925B8D81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228841</xdr:colOff>
      <xdr:row>2</xdr:row>
      <xdr:rowOff>0</xdr:rowOff>
    </xdr:from>
    <xdr:to>
      <xdr:col>1</xdr:col>
      <xdr:colOff>2186700</xdr:colOff>
      <xdr:row>3</xdr:row>
      <xdr:rowOff>0</xdr:rowOff>
    </xdr:to>
    <xdr:grpSp>
      <xdr:nvGrpSpPr>
        <xdr:cNvPr id="63" name="$B$3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46A7C59E-C739-4976-84B3-FFAC68EBF402}"/>
            </a:ext>
          </a:extLst>
        </xdr:cNvPr>
        <xdr:cNvGrpSpPr>
          <a:grpSpLocks noChangeAspect="1"/>
        </xdr:cNvGrpSpPr>
      </xdr:nvGrpSpPr>
      <xdr:grpSpPr>
        <a:xfrm>
          <a:off x="1196581" y="731520"/>
          <a:ext cx="1957859" cy="365760"/>
          <a:chOff x="0" y="12700"/>
          <a:chExt cx="1206500" cy="12700"/>
        </a:xfrm>
      </xdr:grpSpPr>
      <xdr:sp macro="" textlink="">
        <xdr:nvSpPr>
          <xdr:cNvPr id="33" name="$B$3">
            <a:extLst>
              <a:ext uri="{FF2B5EF4-FFF2-40B4-BE49-F238E27FC236}">
                <a16:creationId xmlns:a16="http://schemas.microsoft.com/office/drawing/2014/main" id="{369EB1C8-F30A-44C7-8D08-07F1002B208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$B$3">
            <a:extLst>
              <a:ext uri="{FF2B5EF4-FFF2-40B4-BE49-F238E27FC236}">
                <a16:creationId xmlns:a16="http://schemas.microsoft.com/office/drawing/2014/main" id="{6BCC97DC-CEDF-43CD-AA21-AC33CDAC2501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$3">
            <a:extLst>
              <a:ext uri="{FF2B5EF4-FFF2-40B4-BE49-F238E27FC236}">
                <a16:creationId xmlns:a16="http://schemas.microsoft.com/office/drawing/2014/main" id="{4E62B548-0DA1-4AFE-B97B-A4B3C85A0B29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$3">
            <a:extLst>
              <a:ext uri="{FF2B5EF4-FFF2-40B4-BE49-F238E27FC236}">
                <a16:creationId xmlns:a16="http://schemas.microsoft.com/office/drawing/2014/main" id="{9CCA051D-090C-41DD-8AFA-F2E0C9AEA3A1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$3">
            <a:extLst>
              <a:ext uri="{FF2B5EF4-FFF2-40B4-BE49-F238E27FC236}">
                <a16:creationId xmlns:a16="http://schemas.microsoft.com/office/drawing/2014/main" id="{9BF217E6-A1C8-4673-A247-552C4C5F122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$3">
            <a:extLst>
              <a:ext uri="{FF2B5EF4-FFF2-40B4-BE49-F238E27FC236}">
                <a16:creationId xmlns:a16="http://schemas.microsoft.com/office/drawing/2014/main" id="{9EC41137-41BD-45DA-BDB7-B51F9376FDEA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$3">
            <a:extLst>
              <a:ext uri="{FF2B5EF4-FFF2-40B4-BE49-F238E27FC236}">
                <a16:creationId xmlns:a16="http://schemas.microsoft.com/office/drawing/2014/main" id="{791B9DF4-6A30-4B30-8BF4-B22AE582C8EE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$3">
            <a:extLst>
              <a:ext uri="{FF2B5EF4-FFF2-40B4-BE49-F238E27FC236}">
                <a16:creationId xmlns:a16="http://schemas.microsoft.com/office/drawing/2014/main" id="{E720FBEF-F04C-4705-877A-CFCAD18F6644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$3">
            <a:extLst>
              <a:ext uri="{FF2B5EF4-FFF2-40B4-BE49-F238E27FC236}">
                <a16:creationId xmlns:a16="http://schemas.microsoft.com/office/drawing/2014/main" id="{57BCE1D0-8D0B-49D5-9476-8E9E1F22AE5B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$3">
            <a:extLst>
              <a:ext uri="{FF2B5EF4-FFF2-40B4-BE49-F238E27FC236}">
                <a16:creationId xmlns:a16="http://schemas.microsoft.com/office/drawing/2014/main" id="{985E7411-864A-4B9A-94A7-4BF042D9A47E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$3">
            <a:extLst>
              <a:ext uri="{FF2B5EF4-FFF2-40B4-BE49-F238E27FC236}">
                <a16:creationId xmlns:a16="http://schemas.microsoft.com/office/drawing/2014/main" id="{323D9CD9-EAB4-4FA7-9015-3BCAED8892AB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$3">
            <a:extLst>
              <a:ext uri="{FF2B5EF4-FFF2-40B4-BE49-F238E27FC236}">
                <a16:creationId xmlns:a16="http://schemas.microsoft.com/office/drawing/2014/main" id="{58D26211-CD00-4FB8-817D-5A7A956A4A54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$3">
            <a:extLst>
              <a:ext uri="{FF2B5EF4-FFF2-40B4-BE49-F238E27FC236}">
                <a16:creationId xmlns:a16="http://schemas.microsoft.com/office/drawing/2014/main" id="{890E924A-CA5F-4F69-A978-392A8632665C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$3">
            <a:extLst>
              <a:ext uri="{FF2B5EF4-FFF2-40B4-BE49-F238E27FC236}">
                <a16:creationId xmlns:a16="http://schemas.microsoft.com/office/drawing/2014/main" id="{E7582479-C8B8-4F04-8CB5-4FF15B322C5E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$3">
            <a:extLst>
              <a:ext uri="{FF2B5EF4-FFF2-40B4-BE49-F238E27FC236}">
                <a16:creationId xmlns:a16="http://schemas.microsoft.com/office/drawing/2014/main" id="{25DE1121-97CD-488A-BAF3-4407EC9888EA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$3">
            <a:extLst>
              <a:ext uri="{FF2B5EF4-FFF2-40B4-BE49-F238E27FC236}">
                <a16:creationId xmlns:a16="http://schemas.microsoft.com/office/drawing/2014/main" id="{D9109D91-BDAD-41D0-8330-F4F4C72BD0F2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$3">
            <a:extLst>
              <a:ext uri="{FF2B5EF4-FFF2-40B4-BE49-F238E27FC236}">
                <a16:creationId xmlns:a16="http://schemas.microsoft.com/office/drawing/2014/main" id="{79D21A90-5DAA-4DCB-846F-0D4CD6F8DE78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$3">
            <a:extLst>
              <a:ext uri="{FF2B5EF4-FFF2-40B4-BE49-F238E27FC236}">
                <a16:creationId xmlns:a16="http://schemas.microsoft.com/office/drawing/2014/main" id="{5807A982-C8E0-4C54-991F-777634C662C2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$3">
            <a:extLst>
              <a:ext uri="{FF2B5EF4-FFF2-40B4-BE49-F238E27FC236}">
                <a16:creationId xmlns:a16="http://schemas.microsoft.com/office/drawing/2014/main" id="{AB8AB0D0-C9F6-44A5-9CDF-0D4060F024C6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$3">
            <a:extLst>
              <a:ext uri="{FF2B5EF4-FFF2-40B4-BE49-F238E27FC236}">
                <a16:creationId xmlns:a16="http://schemas.microsoft.com/office/drawing/2014/main" id="{D7EC82F6-345C-48B5-A286-E6286410F510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$3">
            <a:extLst>
              <a:ext uri="{FF2B5EF4-FFF2-40B4-BE49-F238E27FC236}">
                <a16:creationId xmlns:a16="http://schemas.microsoft.com/office/drawing/2014/main" id="{251CAAF5-0E1C-4014-9F83-E52D43343482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$3">
            <a:extLst>
              <a:ext uri="{FF2B5EF4-FFF2-40B4-BE49-F238E27FC236}">
                <a16:creationId xmlns:a16="http://schemas.microsoft.com/office/drawing/2014/main" id="{292DD4CE-0790-474E-9113-476AD64E7987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$3">
            <a:extLst>
              <a:ext uri="{FF2B5EF4-FFF2-40B4-BE49-F238E27FC236}">
                <a16:creationId xmlns:a16="http://schemas.microsoft.com/office/drawing/2014/main" id="{D41E2649-14D5-4571-B64D-3494BFA7194F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$3">
            <a:extLst>
              <a:ext uri="{FF2B5EF4-FFF2-40B4-BE49-F238E27FC236}">
                <a16:creationId xmlns:a16="http://schemas.microsoft.com/office/drawing/2014/main" id="{3DD0D036-EE8D-4D55-9519-5B0F6115CEE9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$3">
            <a:extLst>
              <a:ext uri="{FF2B5EF4-FFF2-40B4-BE49-F238E27FC236}">
                <a16:creationId xmlns:a16="http://schemas.microsoft.com/office/drawing/2014/main" id="{A76070A1-6C01-478D-B6F1-6B8D51061966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$3">
            <a:extLst>
              <a:ext uri="{FF2B5EF4-FFF2-40B4-BE49-F238E27FC236}">
                <a16:creationId xmlns:a16="http://schemas.microsoft.com/office/drawing/2014/main" id="{6C2C654A-2391-4CC0-A9FA-1AF3A52B5207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$3">
            <a:extLst>
              <a:ext uri="{FF2B5EF4-FFF2-40B4-BE49-F238E27FC236}">
                <a16:creationId xmlns:a16="http://schemas.microsoft.com/office/drawing/2014/main" id="{9BB205E5-36C0-4735-BA27-A84B2EA70162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$3">
            <a:extLst>
              <a:ext uri="{FF2B5EF4-FFF2-40B4-BE49-F238E27FC236}">
                <a16:creationId xmlns:a16="http://schemas.microsoft.com/office/drawing/2014/main" id="{E7FAC51E-ACBD-4347-B0EA-0B67D138B2DE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$3">
            <a:extLst>
              <a:ext uri="{FF2B5EF4-FFF2-40B4-BE49-F238E27FC236}">
                <a16:creationId xmlns:a16="http://schemas.microsoft.com/office/drawing/2014/main" id="{124CDF14-C2A1-47DE-82C3-B412723235CC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$3">
            <a:extLst>
              <a:ext uri="{FF2B5EF4-FFF2-40B4-BE49-F238E27FC236}">
                <a16:creationId xmlns:a16="http://schemas.microsoft.com/office/drawing/2014/main" id="{AECA0FBB-C85D-41B9-9CD1-A91D89CFEA75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462550</xdr:colOff>
      <xdr:row>4</xdr:row>
      <xdr:rowOff>0</xdr:rowOff>
    </xdr:from>
    <xdr:to>
      <xdr:col>1</xdr:col>
      <xdr:colOff>1952990</xdr:colOff>
      <xdr:row>5</xdr:row>
      <xdr:rowOff>0</xdr:rowOff>
    </xdr:to>
    <xdr:grpSp>
      <xdr:nvGrpSpPr>
        <xdr:cNvPr id="80" name="$B$5" descr="Linear barcode, 47 modules" title="1121231111132112311113112111321">
          <a:extLst>
            <a:ext uri="{FF2B5EF4-FFF2-40B4-BE49-F238E27FC236}">
              <a16:creationId xmlns:a16="http://schemas.microsoft.com/office/drawing/2014/main" id="{EF6CC44B-E627-4196-9167-D3C8F1001473}"/>
            </a:ext>
          </a:extLst>
        </xdr:cNvPr>
        <xdr:cNvGrpSpPr>
          <a:grpSpLocks noChangeAspect="1"/>
        </xdr:cNvGrpSpPr>
      </xdr:nvGrpSpPr>
      <xdr:grpSpPr>
        <a:xfrm>
          <a:off x="1430290" y="1463040"/>
          <a:ext cx="1490440" cy="365760"/>
          <a:chOff x="0" y="12700"/>
          <a:chExt cx="596900" cy="12700"/>
        </a:xfrm>
      </xdr:grpSpPr>
      <xdr:sp macro="" textlink="">
        <xdr:nvSpPr>
          <xdr:cNvPr id="64" name="$B$5">
            <a:extLst>
              <a:ext uri="{FF2B5EF4-FFF2-40B4-BE49-F238E27FC236}">
                <a16:creationId xmlns:a16="http://schemas.microsoft.com/office/drawing/2014/main" id="{6DA07BE9-4734-4794-86DF-2D4CE243121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$B$5">
            <a:extLst>
              <a:ext uri="{FF2B5EF4-FFF2-40B4-BE49-F238E27FC236}">
                <a16:creationId xmlns:a16="http://schemas.microsoft.com/office/drawing/2014/main" id="{DB086D11-0111-4532-AC80-7E29CAA5A494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$B$5">
            <a:extLst>
              <a:ext uri="{FF2B5EF4-FFF2-40B4-BE49-F238E27FC236}">
                <a16:creationId xmlns:a16="http://schemas.microsoft.com/office/drawing/2014/main" id="{5D11954A-18E9-409F-AD95-8DCE097A8947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$B$5">
            <a:extLst>
              <a:ext uri="{FF2B5EF4-FFF2-40B4-BE49-F238E27FC236}">
                <a16:creationId xmlns:a16="http://schemas.microsoft.com/office/drawing/2014/main" id="{032965EA-C02F-4AAE-ABA9-9EFC3808477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8" name="$B$5">
            <a:extLst>
              <a:ext uri="{FF2B5EF4-FFF2-40B4-BE49-F238E27FC236}">
                <a16:creationId xmlns:a16="http://schemas.microsoft.com/office/drawing/2014/main" id="{444C3DC5-057D-4589-8620-9DEA3C7B4EB6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$B$5">
            <a:extLst>
              <a:ext uri="{FF2B5EF4-FFF2-40B4-BE49-F238E27FC236}">
                <a16:creationId xmlns:a16="http://schemas.microsoft.com/office/drawing/2014/main" id="{537F0EC6-99A1-40FA-A767-1DADEEDE486B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0" name="$B$5">
            <a:extLst>
              <a:ext uri="{FF2B5EF4-FFF2-40B4-BE49-F238E27FC236}">
                <a16:creationId xmlns:a16="http://schemas.microsoft.com/office/drawing/2014/main" id="{A38656C1-EE3C-48F2-AAFF-71176E4253EE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1" name="$B$5">
            <a:extLst>
              <a:ext uri="{FF2B5EF4-FFF2-40B4-BE49-F238E27FC236}">
                <a16:creationId xmlns:a16="http://schemas.microsoft.com/office/drawing/2014/main" id="{F709FED2-D0BF-4080-8C04-FE88AD116C96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$B$5">
            <a:extLst>
              <a:ext uri="{FF2B5EF4-FFF2-40B4-BE49-F238E27FC236}">
                <a16:creationId xmlns:a16="http://schemas.microsoft.com/office/drawing/2014/main" id="{4D366DC0-E714-4DDC-A320-09F2F3A5DAF8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3" name="$B$5">
            <a:extLst>
              <a:ext uri="{FF2B5EF4-FFF2-40B4-BE49-F238E27FC236}">
                <a16:creationId xmlns:a16="http://schemas.microsoft.com/office/drawing/2014/main" id="{1B91E027-3A39-4582-9F54-2E02662917A4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$B$5">
            <a:extLst>
              <a:ext uri="{FF2B5EF4-FFF2-40B4-BE49-F238E27FC236}">
                <a16:creationId xmlns:a16="http://schemas.microsoft.com/office/drawing/2014/main" id="{FAFC5074-C93E-4A5C-8E11-0AA98CA3698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5" name="$B$5">
            <a:extLst>
              <a:ext uri="{FF2B5EF4-FFF2-40B4-BE49-F238E27FC236}">
                <a16:creationId xmlns:a16="http://schemas.microsoft.com/office/drawing/2014/main" id="{363DB369-80F6-4E9B-8082-52E81AD02E9C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6" name="$B$5">
            <a:extLst>
              <a:ext uri="{FF2B5EF4-FFF2-40B4-BE49-F238E27FC236}">
                <a16:creationId xmlns:a16="http://schemas.microsoft.com/office/drawing/2014/main" id="{84C2B006-E990-41FB-B853-44756BA052DA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7" name="$B$5">
            <a:extLst>
              <a:ext uri="{FF2B5EF4-FFF2-40B4-BE49-F238E27FC236}">
                <a16:creationId xmlns:a16="http://schemas.microsoft.com/office/drawing/2014/main" id="{0309C93C-3B3A-4D17-BEFC-0E884DB9FC4D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$B$5">
            <a:extLst>
              <a:ext uri="{FF2B5EF4-FFF2-40B4-BE49-F238E27FC236}">
                <a16:creationId xmlns:a16="http://schemas.microsoft.com/office/drawing/2014/main" id="{E408D613-E273-4415-B011-D47ECCDC1370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$B$5">
            <a:extLst>
              <a:ext uri="{FF2B5EF4-FFF2-40B4-BE49-F238E27FC236}">
                <a16:creationId xmlns:a16="http://schemas.microsoft.com/office/drawing/2014/main" id="{44600003-FEA4-4E72-B3B8-92922FB4250F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1086993</xdr:colOff>
      <xdr:row>5</xdr:row>
      <xdr:rowOff>0</xdr:rowOff>
    </xdr:from>
    <xdr:to>
      <xdr:col>1</xdr:col>
      <xdr:colOff>1328547</xdr:colOff>
      <xdr:row>6</xdr:row>
      <xdr:rowOff>0</xdr:rowOff>
    </xdr:to>
    <xdr:grpSp>
      <xdr:nvGrpSpPr>
        <xdr:cNvPr id="88" name="$B$6" descr="Linear barcode, 20 modules" title="1123211111321">
          <a:extLst>
            <a:ext uri="{FF2B5EF4-FFF2-40B4-BE49-F238E27FC236}">
              <a16:creationId xmlns:a16="http://schemas.microsoft.com/office/drawing/2014/main" id="{ABF7537F-B2E9-4FDF-B7A1-E4E717ECFADF}"/>
            </a:ext>
          </a:extLst>
        </xdr:cNvPr>
        <xdr:cNvGrpSpPr>
          <a:grpSpLocks noChangeAspect="1"/>
        </xdr:cNvGrpSpPr>
      </xdr:nvGrpSpPr>
      <xdr:grpSpPr>
        <a:xfrm>
          <a:off x="2054733" y="1828800"/>
          <a:ext cx="241554" cy="365760"/>
          <a:chOff x="0" y="12700"/>
          <a:chExt cx="254000" cy="12700"/>
        </a:xfrm>
      </xdr:grpSpPr>
      <xdr:sp macro="" textlink="">
        <xdr:nvSpPr>
          <xdr:cNvPr id="81" name="$B$6">
            <a:extLst>
              <a:ext uri="{FF2B5EF4-FFF2-40B4-BE49-F238E27FC236}">
                <a16:creationId xmlns:a16="http://schemas.microsoft.com/office/drawing/2014/main" id="{B9648D16-9027-4368-8C63-59E221225FA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2" name="$B$6">
            <a:extLst>
              <a:ext uri="{FF2B5EF4-FFF2-40B4-BE49-F238E27FC236}">
                <a16:creationId xmlns:a16="http://schemas.microsoft.com/office/drawing/2014/main" id="{ED1EBE8F-6ED7-4540-897D-12A6C2B050F9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3" name="$B$6">
            <a:extLst>
              <a:ext uri="{FF2B5EF4-FFF2-40B4-BE49-F238E27FC236}">
                <a16:creationId xmlns:a16="http://schemas.microsoft.com/office/drawing/2014/main" id="{9296FD78-0A69-4BAC-BEEB-E5B10D9D0B08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4" name="$B$6">
            <a:extLst>
              <a:ext uri="{FF2B5EF4-FFF2-40B4-BE49-F238E27FC236}">
                <a16:creationId xmlns:a16="http://schemas.microsoft.com/office/drawing/2014/main" id="{D38D5AAF-02A5-4FEE-BF46-895BF801CDC4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5" name="$B$6">
            <a:extLst>
              <a:ext uri="{FF2B5EF4-FFF2-40B4-BE49-F238E27FC236}">
                <a16:creationId xmlns:a16="http://schemas.microsoft.com/office/drawing/2014/main" id="{C16E235D-B0FD-4A3D-9B25-A5C12C2E4E9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$B$6">
            <a:extLst>
              <a:ext uri="{FF2B5EF4-FFF2-40B4-BE49-F238E27FC236}">
                <a16:creationId xmlns:a16="http://schemas.microsoft.com/office/drawing/2014/main" id="{87765C04-B1A2-4501-B418-28DE9D355EE4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7" name="$B$6">
            <a:extLst>
              <a:ext uri="{FF2B5EF4-FFF2-40B4-BE49-F238E27FC236}">
                <a16:creationId xmlns:a16="http://schemas.microsoft.com/office/drawing/2014/main" id="{A5F9C9CB-8E58-44EB-ADEB-1011915C1259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334460</xdr:colOff>
      <xdr:row>6</xdr:row>
      <xdr:rowOff>0</xdr:rowOff>
    </xdr:from>
    <xdr:to>
      <xdr:col>1</xdr:col>
      <xdr:colOff>2081081</xdr:colOff>
      <xdr:row>7</xdr:row>
      <xdr:rowOff>0</xdr:rowOff>
    </xdr:to>
    <xdr:grpSp>
      <xdr:nvGrpSpPr>
        <xdr:cNvPr id="114" name="$B$7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5F9CF605-DCB8-4806-BEBB-FF35BD02B824}"/>
            </a:ext>
          </a:extLst>
        </xdr:cNvPr>
        <xdr:cNvGrpSpPr>
          <a:grpSpLocks noChangeAspect="1"/>
        </xdr:cNvGrpSpPr>
      </xdr:nvGrpSpPr>
      <xdr:grpSpPr>
        <a:xfrm>
          <a:off x="1302200" y="2194560"/>
          <a:ext cx="1746621" cy="365760"/>
          <a:chOff x="0" y="12700"/>
          <a:chExt cx="812800" cy="12700"/>
        </a:xfrm>
      </xdr:grpSpPr>
      <xdr:sp macro="" textlink="">
        <xdr:nvSpPr>
          <xdr:cNvPr id="89" name="$B$7">
            <a:extLst>
              <a:ext uri="{FF2B5EF4-FFF2-40B4-BE49-F238E27FC236}">
                <a16:creationId xmlns:a16="http://schemas.microsoft.com/office/drawing/2014/main" id="{92D2D07A-ABD6-4FBD-A8DE-9869CF7DF06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$B$7">
            <a:extLst>
              <a:ext uri="{FF2B5EF4-FFF2-40B4-BE49-F238E27FC236}">
                <a16:creationId xmlns:a16="http://schemas.microsoft.com/office/drawing/2014/main" id="{C0884EE6-9980-48B1-A020-8C74851C234F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1" name="$B$7">
            <a:extLst>
              <a:ext uri="{FF2B5EF4-FFF2-40B4-BE49-F238E27FC236}">
                <a16:creationId xmlns:a16="http://schemas.microsoft.com/office/drawing/2014/main" id="{D8B28AA8-027F-4512-A8EF-701884CFB6A1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2" name="$B$7">
            <a:extLst>
              <a:ext uri="{FF2B5EF4-FFF2-40B4-BE49-F238E27FC236}">
                <a16:creationId xmlns:a16="http://schemas.microsoft.com/office/drawing/2014/main" id="{3A537CE1-BF87-4205-BD96-B9F6FDB7C896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$B$7">
            <a:extLst>
              <a:ext uri="{FF2B5EF4-FFF2-40B4-BE49-F238E27FC236}">
                <a16:creationId xmlns:a16="http://schemas.microsoft.com/office/drawing/2014/main" id="{F5B903DC-1AFB-4D6D-B2A4-E1E71B576A0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4" name="$B$7">
            <a:extLst>
              <a:ext uri="{FF2B5EF4-FFF2-40B4-BE49-F238E27FC236}">
                <a16:creationId xmlns:a16="http://schemas.microsoft.com/office/drawing/2014/main" id="{6B8B6410-3D4E-4D0A-8B2C-488E00F3E497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$B$7">
            <a:extLst>
              <a:ext uri="{FF2B5EF4-FFF2-40B4-BE49-F238E27FC236}">
                <a16:creationId xmlns:a16="http://schemas.microsoft.com/office/drawing/2014/main" id="{6690C217-E47D-41C5-A27A-1DEEF72D16C6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$B$7">
            <a:extLst>
              <a:ext uri="{FF2B5EF4-FFF2-40B4-BE49-F238E27FC236}">
                <a16:creationId xmlns:a16="http://schemas.microsoft.com/office/drawing/2014/main" id="{2339CA8D-48F2-4373-9B34-B1FE187E7FA3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7" name="$B$7">
            <a:extLst>
              <a:ext uri="{FF2B5EF4-FFF2-40B4-BE49-F238E27FC236}">
                <a16:creationId xmlns:a16="http://schemas.microsoft.com/office/drawing/2014/main" id="{2A2922B9-153C-436E-947A-A8FD3B40F06A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8" name="$B$7">
            <a:extLst>
              <a:ext uri="{FF2B5EF4-FFF2-40B4-BE49-F238E27FC236}">
                <a16:creationId xmlns:a16="http://schemas.microsoft.com/office/drawing/2014/main" id="{17D3F8D9-53B2-4205-8133-9BF031578412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9" name="$B$7">
            <a:extLst>
              <a:ext uri="{FF2B5EF4-FFF2-40B4-BE49-F238E27FC236}">
                <a16:creationId xmlns:a16="http://schemas.microsoft.com/office/drawing/2014/main" id="{2747D963-570C-402C-81FF-E8FC249E94CA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0" name="$B$7">
            <a:extLst>
              <a:ext uri="{FF2B5EF4-FFF2-40B4-BE49-F238E27FC236}">
                <a16:creationId xmlns:a16="http://schemas.microsoft.com/office/drawing/2014/main" id="{438F521C-29FD-40A8-8446-782678307185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1" name="$B$7">
            <a:extLst>
              <a:ext uri="{FF2B5EF4-FFF2-40B4-BE49-F238E27FC236}">
                <a16:creationId xmlns:a16="http://schemas.microsoft.com/office/drawing/2014/main" id="{17EF7169-3FAF-4731-B705-38062080A349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2" name="$B$7">
            <a:extLst>
              <a:ext uri="{FF2B5EF4-FFF2-40B4-BE49-F238E27FC236}">
                <a16:creationId xmlns:a16="http://schemas.microsoft.com/office/drawing/2014/main" id="{C3F5A1E0-E7FF-4ECB-A13A-66DF048912C0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$B$7">
            <a:extLst>
              <a:ext uri="{FF2B5EF4-FFF2-40B4-BE49-F238E27FC236}">
                <a16:creationId xmlns:a16="http://schemas.microsoft.com/office/drawing/2014/main" id="{48106F22-365E-4907-82BE-3316319FB63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4" name="$B$7">
            <a:extLst>
              <a:ext uri="{FF2B5EF4-FFF2-40B4-BE49-F238E27FC236}">
                <a16:creationId xmlns:a16="http://schemas.microsoft.com/office/drawing/2014/main" id="{24A0E61A-4AD2-4655-9711-A431E64247F3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5" name="$B$7">
            <a:extLst>
              <a:ext uri="{FF2B5EF4-FFF2-40B4-BE49-F238E27FC236}">
                <a16:creationId xmlns:a16="http://schemas.microsoft.com/office/drawing/2014/main" id="{CD8AF216-960F-452E-AF27-747477D9B9EA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6" name="$B$7">
            <a:extLst>
              <a:ext uri="{FF2B5EF4-FFF2-40B4-BE49-F238E27FC236}">
                <a16:creationId xmlns:a16="http://schemas.microsoft.com/office/drawing/2014/main" id="{1F1C7331-4944-47A5-A58B-0A7C5C05CA5D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7" name="$B$7">
            <a:extLst>
              <a:ext uri="{FF2B5EF4-FFF2-40B4-BE49-F238E27FC236}">
                <a16:creationId xmlns:a16="http://schemas.microsoft.com/office/drawing/2014/main" id="{23E594FF-FD91-4BB2-B00D-5699C4274CB3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8" name="$B$7">
            <a:extLst>
              <a:ext uri="{FF2B5EF4-FFF2-40B4-BE49-F238E27FC236}">
                <a16:creationId xmlns:a16="http://schemas.microsoft.com/office/drawing/2014/main" id="{AA77A903-0936-4B77-A0FE-1FC19A65FA6D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$B$7">
            <a:extLst>
              <a:ext uri="{FF2B5EF4-FFF2-40B4-BE49-F238E27FC236}">
                <a16:creationId xmlns:a16="http://schemas.microsoft.com/office/drawing/2014/main" id="{5A3AABA6-792C-41AD-BE4A-EB238D6522CE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0" name="$B$7">
            <a:extLst>
              <a:ext uri="{FF2B5EF4-FFF2-40B4-BE49-F238E27FC236}">
                <a16:creationId xmlns:a16="http://schemas.microsoft.com/office/drawing/2014/main" id="{707C23CF-3F3A-406A-95F3-B76EDC72C5E8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1" name="$B$7">
            <a:extLst>
              <a:ext uri="{FF2B5EF4-FFF2-40B4-BE49-F238E27FC236}">
                <a16:creationId xmlns:a16="http://schemas.microsoft.com/office/drawing/2014/main" id="{B8DF58C0-9D7D-4407-A30D-DD7F0AA3CC65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$B$7">
            <a:extLst>
              <a:ext uri="{FF2B5EF4-FFF2-40B4-BE49-F238E27FC236}">
                <a16:creationId xmlns:a16="http://schemas.microsoft.com/office/drawing/2014/main" id="{E12C6E5E-D367-497A-AE20-F26B128226D5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3" name="$B$7">
            <a:extLst>
              <a:ext uri="{FF2B5EF4-FFF2-40B4-BE49-F238E27FC236}">
                <a16:creationId xmlns:a16="http://schemas.microsoft.com/office/drawing/2014/main" id="{59CAF07C-ED6B-4775-8C12-4176E9BA2733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310570</xdr:colOff>
      <xdr:row>7</xdr:row>
      <xdr:rowOff>0</xdr:rowOff>
    </xdr:from>
    <xdr:to>
      <xdr:col>1</xdr:col>
      <xdr:colOff>2104971</xdr:colOff>
      <xdr:row>8</xdr:row>
      <xdr:rowOff>0</xdr:rowOff>
    </xdr:to>
    <xdr:grpSp>
      <xdr:nvGrpSpPr>
        <xdr:cNvPr id="142" name="$B$8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B9FDBA09-B2E1-4D7B-9F8D-9D5C67711845}"/>
            </a:ext>
          </a:extLst>
        </xdr:cNvPr>
        <xdr:cNvGrpSpPr>
          <a:grpSpLocks noChangeAspect="1"/>
        </xdr:cNvGrpSpPr>
      </xdr:nvGrpSpPr>
      <xdr:grpSpPr>
        <a:xfrm>
          <a:off x="1278310" y="2560320"/>
          <a:ext cx="1794401" cy="365760"/>
          <a:chOff x="0" y="12700"/>
          <a:chExt cx="889000" cy="12700"/>
        </a:xfrm>
      </xdr:grpSpPr>
      <xdr:sp macro="" textlink="">
        <xdr:nvSpPr>
          <xdr:cNvPr id="115" name="$B$8">
            <a:extLst>
              <a:ext uri="{FF2B5EF4-FFF2-40B4-BE49-F238E27FC236}">
                <a16:creationId xmlns:a16="http://schemas.microsoft.com/office/drawing/2014/main" id="{9D1BC680-4590-48BB-BEAB-B777CCDFF19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6" name="$B$8">
            <a:extLst>
              <a:ext uri="{FF2B5EF4-FFF2-40B4-BE49-F238E27FC236}">
                <a16:creationId xmlns:a16="http://schemas.microsoft.com/office/drawing/2014/main" id="{F3035970-B0EB-4032-89E9-DD6380C00540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$B$8">
            <a:extLst>
              <a:ext uri="{FF2B5EF4-FFF2-40B4-BE49-F238E27FC236}">
                <a16:creationId xmlns:a16="http://schemas.microsoft.com/office/drawing/2014/main" id="{8E7579AA-ACF8-4105-888F-5D38E45A6479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8" name="$B$8">
            <a:extLst>
              <a:ext uri="{FF2B5EF4-FFF2-40B4-BE49-F238E27FC236}">
                <a16:creationId xmlns:a16="http://schemas.microsoft.com/office/drawing/2014/main" id="{EF8BC8BE-0617-48C4-A4C6-7BFB99D6471D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9" name="$B$8">
            <a:extLst>
              <a:ext uri="{FF2B5EF4-FFF2-40B4-BE49-F238E27FC236}">
                <a16:creationId xmlns:a16="http://schemas.microsoft.com/office/drawing/2014/main" id="{8B1FC92D-29B9-4397-8773-8050F99982D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0" name="$B$8">
            <a:extLst>
              <a:ext uri="{FF2B5EF4-FFF2-40B4-BE49-F238E27FC236}">
                <a16:creationId xmlns:a16="http://schemas.microsoft.com/office/drawing/2014/main" id="{F2F03CFB-3DD2-4F42-BFB0-8CD3D46FC611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1" name="$B$8">
            <a:extLst>
              <a:ext uri="{FF2B5EF4-FFF2-40B4-BE49-F238E27FC236}">
                <a16:creationId xmlns:a16="http://schemas.microsoft.com/office/drawing/2014/main" id="{3DAD60B4-A909-4FC1-83F3-5A3452A43F48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$B$8">
            <a:extLst>
              <a:ext uri="{FF2B5EF4-FFF2-40B4-BE49-F238E27FC236}">
                <a16:creationId xmlns:a16="http://schemas.microsoft.com/office/drawing/2014/main" id="{5B37EF8B-3E0A-4F54-894B-ABA41CD0DEBC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3" name="$B$8">
            <a:extLst>
              <a:ext uri="{FF2B5EF4-FFF2-40B4-BE49-F238E27FC236}">
                <a16:creationId xmlns:a16="http://schemas.microsoft.com/office/drawing/2014/main" id="{60DCE1C4-8AD5-42B8-B972-266DF98DD5D0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4" name="$B$8">
            <a:extLst>
              <a:ext uri="{FF2B5EF4-FFF2-40B4-BE49-F238E27FC236}">
                <a16:creationId xmlns:a16="http://schemas.microsoft.com/office/drawing/2014/main" id="{0D8472A9-AD6A-456C-8305-7963796D0F63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5" name="$B$8">
            <a:extLst>
              <a:ext uri="{FF2B5EF4-FFF2-40B4-BE49-F238E27FC236}">
                <a16:creationId xmlns:a16="http://schemas.microsoft.com/office/drawing/2014/main" id="{231D17F1-852D-4D18-8D0E-E03205C0F77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6" name="$B$8">
            <a:extLst>
              <a:ext uri="{FF2B5EF4-FFF2-40B4-BE49-F238E27FC236}">
                <a16:creationId xmlns:a16="http://schemas.microsoft.com/office/drawing/2014/main" id="{8EFA4ED6-6A88-4AAB-9C6B-97280F73EE51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7" name="$B$8">
            <a:extLst>
              <a:ext uri="{FF2B5EF4-FFF2-40B4-BE49-F238E27FC236}">
                <a16:creationId xmlns:a16="http://schemas.microsoft.com/office/drawing/2014/main" id="{F061BBAF-65FA-41B2-9CE1-5686C0A789AA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8" name="$B$8">
            <a:extLst>
              <a:ext uri="{FF2B5EF4-FFF2-40B4-BE49-F238E27FC236}">
                <a16:creationId xmlns:a16="http://schemas.microsoft.com/office/drawing/2014/main" id="{CD351A4F-F0E3-445B-AC59-EE6A59CE27AE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$B$8">
            <a:extLst>
              <a:ext uri="{FF2B5EF4-FFF2-40B4-BE49-F238E27FC236}">
                <a16:creationId xmlns:a16="http://schemas.microsoft.com/office/drawing/2014/main" id="{240DE61B-2489-457E-AD5B-B610B001548D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0" name="$B$8">
            <a:extLst>
              <a:ext uri="{FF2B5EF4-FFF2-40B4-BE49-F238E27FC236}">
                <a16:creationId xmlns:a16="http://schemas.microsoft.com/office/drawing/2014/main" id="{EB074E38-18DF-4064-B6D7-6FB41F5C4042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$B$8">
            <a:extLst>
              <a:ext uri="{FF2B5EF4-FFF2-40B4-BE49-F238E27FC236}">
                <a16:creationId xmlns:a16="http://schemas.microsoft.com/office/drawing/2014/main" id="{C5C432BE-16DB-4EA4-9202-D56F40A3FB15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2" name="$B$8">
            <a:extLst>
              <a:ext uri="{FF2B5EF4-FFF2-40B4-BE49-F238E27FC236}">
                <a16:creationId xmlns:a16="http://schemas.microsoft.com/office/drawing/2014/main" id="{A314F507-AF41-4566-8DAA-7944DDB05235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3" name="$B$8">
            <a:extLst>
              <a:ext uri="{FF2B5EF4-FFF2-40B4-BE49-F238E27FC236}">
                <a16:creationId xmlns:a16="http://schemas.microsoft.com/office/drawing/2014/main" id="{8BD24FC4-AF3E-4C75-BC11-1C376D415F11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$B$8">
            <a:extLst>
              <a:ext uri="{FF2B5EF4-FFF2-40B4-BE49-F238E27FC236}">
                <a16:creationId xmlns:a16="http://schemas.microsoft.com/office/drawing/2014/main" id="{3701A12E-020A-4586-BE83-A791B8A6A5C3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$B$8">
            <a:extLst>
              <a:ext uri="{FF2B5EF4-FFF2-40B4-BE49-F238E27FC236}">
                <a16:creationId xmlns:a16="http://schemas.microsoft.com/office/drawing/2014/main" id="{FB21B08A-5F38-4B09-9937-E7AD07D97F65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6" name="$B$8">
            <a:extLst>
              <a:ext uri="{FF2B5EF4-FFF2-40B4-BE49-F238E27FC236}">
                <a16:creationId xmlns:a16="http://schemas.microsoft.com/office/drawing/2014/main" id="{6E960F72-325B-4BD0-9746-13182591619C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7" name="$B$8">
            <a:extLst>
              <a:ext uri="{FF2B5EF4-FFF2-40B4-BE49-F238E27FC236}">
                <a16:creationId xmlns:a16="http://schemas.microsoft.com/office/drawing/2014/main" id="{ADF2AD58-0333-43D9-B9C6-4C1D9F022E2B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$B$8">
            <a:extLst>
              <a:ext uri="{FF2B5EF4-FFF2-40B4-BE49-F238E27FC236}">
                <a16:creationId xmlns:a16="http://schemas.microsoft.com/office/drawing/2014/main" id="{B047F06B-D52F-43F2-A54B-F7E24B5B6274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$B$8">
            <a:extLst>
              <a:ext uri="{FF2B5EF4-FFF2-40B4-BE49-F238E27FC236}">
                <a16:creationId xmlns:a16="http://schemas.microsoft.com/office/drawing/2014/main" id="{815520D1-9202-41D1-90E5-BCEB4537D893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$B$8">
            <a:extLst>
              <a:ext uri="{FF2B5EF4-FFF2-40B4-BE49-F238E27FC236}">
                <a16:creationId xmlns:a16="http://schemas.microsoft.com/office/drawing/2014/main" id="{1B4194CB-7AA9-4EC8-AD4C-4F2069F10EE3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1" name="$B$8">
            <a:extLst>
              <a:ext uri="{FF2B5EF4-FFF2-40B4-BE49-F238E27FC236}">
                <a16:creationId xmlns:a16="http://schemas.microsoft.com/office/drawing/2014/main" id="{AB4CE791-597C-46E5-964F-3AC3E113213C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217399</xdr:colOff>
      <xdr:row>8</xdr:row>
      <xdr:rowOff>0</xdr:rowOff>
    </xdr:from>
    <xdr:to>
      <xdr:col>1</xdr:col>
      <xdr:colOff>2198142</xdr:colOff>
      <xdr:row>9</xdr:row>
      <xdr:rowOff>0</xdr:rowOff>
    </xdr:to>
    <xdr:grpSp>
      <xdr:nvGrpSpPr>
        <xdr:cNvPr id="177" name="$B$9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8A6C282B-0060-4B24-B19D-60B1B98CB619}"/>
            </a:ext>
          </a:extLst>
        </xdr:cNvPr>
        <xdr:cNvGrpSpPr>
          <a:grpSpLocks noChangeAspect="1"/>
        </xdr:cNvGrpSpPr>
      </xdr:nvGrpSpPr>
      <xdr:grpSpPr>
        <a:xfrm>
          <a:off x="1185139" y="2926080"/>
          <a:ext cx="1980743" cy="365760"/>
          <a:chOff x="0" y="12700"/>
          <a:chExt cx="1270000" cy="12700"/>
        </a:xfrm>
      </xdr:grpSpPr>
      <xdr:sp macro="" textlink="">
        <xdr:nvSpPr>
          <xdr:cNvPr id="143" name="$B$9">
            <a:extLst>
              <a:ext uri="{FF2B5EF4-FFF2-40B4-BE49-F238E27FC236}">
                <a16:creationId xmlns:a16="http://schemas.microsoft.com/office/drawing/2014/main" id="{2BEA1519-5914-4646-992F-508F4C132FC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4" name="$B$9">
            <a:extLst>
              <a:ext uri="{FF2B5EF4-FFF2-40B4-BE49-F238E27FC236}">
                <a16:creationId xmlns:a16="http://schemas.microsoft.com/office/drawing/2014/main" id="{EEF88D9F-D57F-4EBC-ACEC-9063C16CCEF4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5" name="$B$9">
            <a:extLst>
              <a:ext uri="{FF2B5EF4-FFF2-40B4-BE49-F238E27FC236}">
                <a16:creationId xmlns:a16="http://schemas.microsoft.com/office/drawing/2014/main" id="{18457435-A244-42D1-93B1-8C746EB4E46B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6" name="$B$9">
            <a:extLst>
              <a:ext uri="{FF2B5EF4-FFF2-40B4-BE49-F238E27FC236}">
                <a16:creationId xmlns:a16="http://schemas.microsoft.com/office/drawing/2014/main" id="{CA6EE547-FE66-450C-BB17-E2D2D0A82FF5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7" name="$B$9">
            <a:extLst>
              <a:ext uri="{FF2B5EF4-FFF2-40B4-BE49-F238E27FC236}">
                <a16:creationId xmlns:a16="http://schemas.microsoft.com/office/drawing/2014/main" id="{33BC0F5B-84F8-4208-9EDD-9779185B288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8" name="$B$9">
            <a:extLst>
              <a:ext uri="{FF2B5EF4-FFF2-40B4-BE49-F238E27FC236}">
                <a16:creationId xmlns:a16="http://schemas.microsoft.com/office/drawing/2014/main" id="{085440A5-DAED-474A-8E8D-A667DBB14ABE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9" name="$B$9">
            <a:extLst>
              <a:ext uri="{FF2B5EF4-FFF2-40B4-BE49-F238E27FC236}">
                <a16:creationId xmlns:a16="http://schemas.microsoft.com/office/drawing/2014/main" id="{147D280B-D9D3-4589-B86A-B9BF48CB5159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0" name="$B$9">
            <a:extLst>
              <a:ext uri="{FF2B5EF4-FFF2-40B4-BE49-F238E27FC236}">
                <a16:creationId xmlns:a16="http://schemas.microsoft.com/office/drawing/2014/main" id="{D876F4A1-5F65-4590-9E33-E3DA8AE4D4A9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1" name="$B$9">
            <a:extLst>
              <a:ext uri="{FF2B5EF4-FFF2-40B4-BE49-F238E27FC236}">
                <a16:creationId xmlns:a16="http://schemas.microsoft.com/office/drawing/2014/main" id="{9F628491-3AC8-4B02-84C2-E2D3A51C9B81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2" name="$B$9">
            <a:extLst>
              <a:ext uri="{FF2B5EF4-FFF2-40B4-BE49-F238E27FC236}">
                <a16:creationId xmlns:a16="http://schemas.microsoft.com/office/drawing/2014/main" id="{3390BF28-CF0A-43F2-9000-AFFA3FE89B57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3" name="$B$9">
            <a:extLst>
              <a:ext uri="{FF2B5EF4-FFF2-40B4-BE49-F238E27FC236}">
                <a16:creationId xmlns:a16="http://schemas.microsoft.com/office/drawing/2014/main" id="{B74A8F00-26E3-4B2D-A39E-F4020BFCC569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4" name="$B$9">
            <a:extLst>
              <a:ext uri="{FF2B5EF4-FFF2-40B4-BE49-F238E27FC236}">
                <a16:creationId xmlns:a16="http://schemas.microsoft.com/office/drawing/2014/main" id="{946F4665-283D-4BB3-B08A-695DF4AC9CB7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$B$9">
            <a:extLst>
              <a:ext uri="{FF2B5EF4-FFF2-40B4-BE49-F238E27FC236}">
                <a16:creationId xmlns:a16="http://schemas.microsoft.com/office/drawing/2014/main" id="{90D42FC1-2720-45F5-A166-2FB88C0E9036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" name="$B$9">
            <a:extLst>
              <a:ext uri="{FF2B5EF4-FFF2-40B4-BE49-F238E27FC236}">
                <a16:creationId xmlns:a16="http://schemas.microsoft.com/office/drawing/2014/main" id="{37F9F5CA-F7B2-414D-BFF2-AF7451E0F10B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7" name="$B$9">
            <a:extLst>
              <a:ext uri="{FF2B5EF4-FFF2-40B4-BE49-F238E27FC236}">
                <a16:creationId xmlns:a16="http://schemas.microsoft.com/office/drawing/2014/main" id="{30390E72-F455-4538-9B73-3AA7EE82A827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8" name="$B$9">
            <a:extLst>
              <a:ext uri="{FF2B5EF4-FFF2-40B4-BE49-F238E27FC236}">
                <a16:creationId xmlns:a16="http://schemas.microsoft.com/office/drawing/2014/main" id="{D6C772C0-8B0E-42C8-8E3B-A4ADF8D66F86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9" name="$B$9">
            <a:extLst>
              <a:ext uri="{FF2B5EF4-FFF2-40B4-BE49-F238E27FC236}">
                <a16:creationId xmlns:a16="http://schemas.microsoft.com/office/drawing/2014/main" id="{1BA946ED-7D4E-4E18-96B4-7959F7F7E6EA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0" name="$B$9">
            <a:extLst>
              <a:ext uri="{FF2B5EF4-FFF2-40B4-BE49-F238E27FC236}">
                <a16:creationId xmlns:a16="http://schemas.microsoft.com/office/drawing/2014/main" id="{0F6DD1BB-DED5-4496-9479-B73002A80989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1" name="$B$9">
            <a:extLst>
              <a:ext uri="{FF2B5EF4-FFF2-40B4-BE49-F238E27FC236}">
                <a16:creationId xmlns:a16="http://schemas.microsoft.com/office/drawing/2014/main" id="{1A20DE7A-F7D1-4346-8305-B8CCA9FA3CC2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2" name="$B$9">
            <a:extLst>
              <a:ext uri="{FF2B5EF4-FFF2-40B4-BE49-F238E27FC236}">
                <a16:creationId xmlns:a16="http://schemas.microsoft.com/office/drawing/2014/main" id="{BA7ACEB5-DC93-4F6C-B478-5BACECAF1652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3" name="$B$9">
            <a:extLst>
              <a:ext uri="{FF2B5EF4-FFF2-40B4-BE49-F238E27FC236}">
                <a16:creationId xmlns:a16="http://schemas.microsoft.com/office/drawing/2014/main" id="{ABC8C1B3-726E-4FF1-AFE8-A4D2BEA87730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4" name="$B$9">
            <a:extLst>
              <a:ext uri="{FF2B5EF4-FFF2-40B4-BE49-F238E27FC236}">
                <a16:creationId xmlns:a16="http://schemas.microsoft.com/office/drawing/2014/main" id="{117AE89C-D336-4C73-A950-17235CC18BB8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$B$9">
            <a:extLst>
              <a:ext uri="{FF2B5EF4-FFF2-40B4-BE49-F238E27FC236}">
                <a16:creationId xmlns:a16="http://schemas.microsoft.com/office/drawing/2014/main" id="{6850F50E-C32C-42B9-9C88-15B0A2F59035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$B$9">
            <a:extLst>
              <a:ext uri="{FF2B5EF4-FFF2-40B4-BE49-F238E27FC236}">
                <a16:creationId xmlns:a16="http://schemas.microsoft.com/office/drawing/2014/main" id="{266EA533-09A5-409E-A8A8-CF1228B38DAD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$B$9">
            <a:extLst>
              <a:ext uri="{FF2B5EF4-FFF2-40B4-BE49-F238E27FC236}">
                <a16:creationId xmlns:a16="http://schemas.microsoft.com/office/drawing/2014/main" id="{E2579F45-5D1E-4A4F-8E84-0DD8D9A161D1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8" name="$B$9">
            <a:extLst>
              <a:ext uri="{FF2B5EF4-FFF2-40B4-BE49-F238E27FC236}">
                <a16:creationId xmlns:a16="http://schemas.microsoft.com/office/drawing/2014/main" id="{EA56312B-A223-4B86-B6CD-205E1A7443DC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9" name="$B$9">
            <a:extLst>
              <a:ext uri="{FF2B5EF4-FFF2-40B4-BE49-F238E27FC236}">
                <a16:creationId xmlns:a16="http://schemas.microsoft.com/office/drawing/2014/main" id="{D15CF333-46CC-4FF4-8A34-9C208B222184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0" name="$B$9">
            <a:extLst>
              <a:ext uri="{FF2B5EF4-FFF2-40B4-BE49-F238E27FC236}">
                <a16:creationId xmlns:a16="http://schemas.microsoft.com/office/drawing/2014/main" id="{CCA2848B-C3B1-4BBB-8A66-C1D768A70A10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1" name="$B$9">
            <a:extLst>
              <a:ext uri="{FF2B5EF4-FFF2-40B4-BE49-F238E27FC236}">
                <a16:creationId xmlns:a16="http://schemas.microsoft.com/office/drawing/2014/main" id="{259FC473-DAE9-4BBD-B1EB-38048D997809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2" name="$B$9">
            <a:extLst>
              <a:ext uri="{FF2B5EF4-FFF2-40B4-BE49-F238E27FC236}">
                <a16:creationId xmlns:a16="http://schemas.microsoft.com/office/drawing/2014/main" id="{5D0E7633-1E6A-415E-8EF2-3C780359837F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3" name="$B$9">
            <a:extLst>
              <a:ext uri="{FF2B5EF4-FFF2-40B4-BE49-F238E27FC236}">
                <a16:creationId xmlns:a16="http://schemas.microsoft.com/office/drawing/2014/main" id="{14EBD494-500A-4DC8-A586-0BE68A0B859B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4" name="$B$9">
            <a:extLst>
              <a:ext uri="{FF2B5EF4-FFF2-40B4-BE49-F238E27FC236}">
                <a16:creationId xmlns:a16="http://schemas.microsoft.com/office/drawing/2014/main" id="{5E7E0EF1-3591-414E-ADCB-1C28A1E5C2E7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$B$9">
            <a:extLst>
              <a:ext uri="{FF2B5EF4-FFF2-40B4-BE49-F238E27FC236}">
                <a16:creationId xmlns:a16="http://schemas.microsoft.com/office/drawing/2014/main" id="{F5E4D9E7-CFDA-40F3-BB4C-AC92C764E2F2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6" name="$B$9">
            <a:extLst>
              <a:ext uri="{FF2B5EF4-FFF2-40B4-BE49-F238E27FC236}">
                <a16:creationId xmlns:a16="http://schemas.microsoft.com/office/drawing/2014/main" id="{76F2DC08-D91E-43BE-89CB-DDE87F4E0BA2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324476</xdr:colOff>
      <xdr:row>3</xdr:row>
      <xdr:rowOff>0</xdr:rowOff>
    </xdr:from>
    <xdr:to>
      <xdr:col>1</xdr:col>
      <xdr:colOff>2091065</xdr:colOff>
      <xdr:row>4</xdr:row>
      <xdr:rowOff>0</xdr:rowOff>
    </xdr:to>
    <xdr:grpSp>
      <xdr:nvGrpSpPr>
        <xdr:cNvPr id="200" name="$B$4" descr="Linear barcode, 67 modules" title="1113112123132111231111113211321132111411111">
          <a:extLst>
            <a:ext uri="{FF2B5EF4-FFF2-40B4-BE49-F238E27FC236}">
              <a16:creationId xmlns:a16="http://schemas.microsoft.com/office/drawing/2014/main" id="{BB704429-4941-40F0-A8AB-8493B5F0F49E}"/>
            </a:ext>
          </a:extLst>
        </xdr:cNvPr>
        <xdr:cNvGrpSpPr>
          <a:grpSpLocks noChangeAspect="1"/>
        </xdr:cNvGrpSpPr>
      </xdr:nvGrpSpPr>
      <xdr:grpSpPr>
        <a:xfrm>
          <a:off x="1292216" y="1097280"/>
          <a:ext cx="1766589" cy="365760"/>
          <a:chOff x="0" y="12700"/>
          <a:chExt cx="850900" cy="12700"/>
        </a:xfrm>
      </xdr:grpSpPr>
      <xdr:sp macro="" textlink="">
        <xdr:nvSpPr>
          <xdr:cNvPr id="178" name="$B$4">
            <a:extLst>
              <a:ext uri="{FF2B5EF4-FFF2-40B4-BE49-F238E27FC236}">
                <a16:creationId xmlns:a16="http://schemas.microsoft.com/office/drawing/2014/main" id="{951DC069-AAAE-457C-853B-DC5A5F6CFB1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9" name="$B$4">
            <a:extLst>
              <a:ext uri="{FF2B5EF4-FFF2-40B4-BE49-F238E27FC236}">
                <a16:creationId xmlns:a16="http://schemas.microsoft.com/office/drawing/2014/main" id="{C452C5B6-D136-4507-B32F-324FCD30B4F9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0" name="$B$4">
            <a:extLst>
              <a:ext uri="{FF2B5EF4-FFF2-40B4-BE49-F238E27FC236}">
                <a16:creationId xmlns:a16="http://schemas.microsoft.com/office/drawing/2014/main" id="{3CAD74FF-94C8-43B3-B260-4E9F4E065DDF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1" name="$B$4">
            <a:extLst>
              <a:ext uri="{FF2B5EF4-FFF2-40B4-BE49-F238E27FC236}">
                <a16:creationId xmlns:a16="http://schemas.microsoft.com/office/drawing/2014/main" id="{EC5C0FA1-6CC7-4256-B9A7-0F4FCBFA0B93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2" name="$B$4">
            <a:extLst>
              <a:ext uri="{FF2B5EF4-FFF2-40B4-BE49-F238E27FC236}">
                <a16:creationId xmlns:a16="http://schemas.microsoft.com/office/drawing/2014/main" id="{C8EA5ED1-F5A1-4187-A67E-C784E4A4F61B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3" name="$B$4">
            <a:extLst>
              <a:ext uri="{FF2B5EF4-FFF2-40B4-BE49-F238E27FC236}">
                <a16:creationId xmlns:a16="http://schemas.microsoft.com/office/drawing/2014/main" id="{D00FBC87-4744-4660-A800-4D8E9B43B7FF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4" name="$B$4">
            <a:extLst>
              <a:ext uri="{FF2B5EF4-FFF2-40B4-BE49-F238E27FC236}">
                <a16:creationId xmlns:a16="http://schemas.microsoft.com/office/drawing/2014/main" id="{EEFB855B-B791-4CCB-BF9E-32F8A8E23DD7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5" name="$B$4">
            <a:extLst>
              <a:ext uri="{FF2B5EF4-FFF2-40B4-BE49-F238E27FC236}">
                <a16:creationId xmlns:a16="http://schemas.microsoft.com/office/drawing/2014/main" id="{1DDAD243-BDB0-416C-847D-B35AC2C2237A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6" name="$B$4">
            <a:extLst>
              <a:ext uri="{FF2B5EF4-FFF2-40B4-BE49-F238E27FC236}">
                <a16:creationId xmlns:a16="http://schemas.microsoft.com/office/drawing/2014/main" id="{92C0AF6D-FE2D-4DAA-9AE2-1D5D02ADDE19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7" name="$B$4">
            <a:extLst>
              <a:ext uri="{FF2B5EF4-FFF2-40B4-BE49-F238E27FC236}">
                <a16:creationId xmlns:a16="http://schemas.microsoft.com/office/drawing/2014/main" id="{F309642C-612B-466B-8DF7-5F4FD906C98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8" name="$B$4">
            <a:extLst>
              <a:ext uri="{FF2B5EF4-FFF2-40B4-BE49-F238E27FC236}">
                <a16:creationId xmlns:a16="http://schemas.microsoft.com/office/drawing/2014/main" id="{D68CC299-8328-4BD3-8552-105EC3745207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9" name="$B$4">
            <a:extLst>
              <a:ext uri="{FF2B5EF4-FFF2-40B4-BE49-F238E27FC236}">
                <a16:creationId xmlns:a16="http://schemas.microsoft.com/office/drawing/2014/main" id="{CA41055B-1E64-40CA-991C-6BEF26F27A40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0" name="$B$4">
            <a:extLst>
              <a:ext uri="{FF2B5EF4-FFF2-40B4-BE49-F238E27FC236}">
                <a16:creationId xmlns:a16="http://schemas.microsoft.com/office/drawing/2014/main" id="{C4EB72D8-DA4C-49C7-AEE2-53BBED068F63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1" name="$B$4">
            <a:extLst>
              <a:ext uri="{FF2B5EF4-FFF2-40B4-BE49-F238E27FC236}">
                <a16:creationId xmlns:a16="http://schemas.microsoft.com/office/drawing/2014/main" id="{9DE6A649-4625-49AC-824D-267633243E6E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2" name="$B$4">
            <a:extLst>
              <a:ext uri="{FF2B5EF4-FFF2-40B4-BE49-F238E27FC236}">
                <a16:creationId xmlns:a16="http://schemas.microsoft.com/office/drawing/2014/main" id="{56BACEAB-2724-43DA-9D27-188A084478A1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3" name="$B$4">
            <a:extLst>
              <a:ext uri="{FF2B5EF4-FFF2-40B4-BE49-F238E27FC236}">
                <a16:creationId xmlns:a16="http://schemas.microsoft.com/office/drawing/2014/main" id="{DD3A9324-72A8-4EF6-A50C-325704CDDE1F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4" name="$B$4">
            <a:extLst>
              <a:ext uri="{FF2B5EF4-FFF2-40B4-BE49-F238E27FC236}">
                <a16:creationId xmlns:a16="http://schemas.microsoft.com/office/drawing/2014/main" id="{2D5EC225-2907-4BC8-BA04-FA39FD5847CC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5" name="$B$4">
            <a:extLst>
              <a:ext uri="{FF2B5EF4-FFF2-40B4-BE49-F238E27FC236}">
                <a16:creationId xmlns:a16="http://schemas.microsoft.com/office/drawing/2014/main" id="{D41C6911-62F6-494F-B5F8-B26EBC5BACDC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6" name="$B$4">
            <a:extLst>
              <a:ext uri="{FF2B5EF4-FFF2-40B4-BE49-F238E27FC236}">
                <a16:creationId xmlns:a16="http://schemas.microsoft.com/office/drawing/2014/main" id="{E46405F8-0C2C-447F-8923-404B8A080B09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7" name="$B$4">
            <a:extLst>
              <a:ext uri="{FF2B5EF4-FFF2-40B4-BE49-F238E27FC236}">
                <a16:creationId xmlns:a16="http://schemas.microsoft.com/office/drawing/2014/main" id="{10668B97-435D-4E3B-8B88-32F0B3F3B135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$B$4">
            <a:extLst>
              <a:ext uri="{FF2B5EF4-FFF2-40B4-BE49-F238E27FC236}">
                <a16:creationId xmlns:a16="http://schemas.microsoft.com/office/drawing/2014/main" id="{01E1DB5E-884A-4CB0-BF1D-3A42480956A2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9" name="$B$4">
            <a:extLst>
              <a:ext uri="{FF2B5EF4-FFF2-40B4-BE49-F238E27FC236}">
                <a16:creationId xmlns:a16="http://schemas.microsoft.com/office/drawing/2014/main" id="{F7D3B560-7CA7-40D8-8269-1CC2D7B01182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426272</xdr:colOff>
      <xdr:row>1</xdr:row>
      <xdr:rowOff>0</xdr:rowOff>
    </xdr:from>
    <xdr:to>
      <xdr:col>1</xdr:col>
      <xdr:colOff>1989268</xdr:colOff>
      <xdr:row>2</xdr:row>
      <xdr:rowOff>0</xdr:rowOff>
    </xdr:to>
    <xdr:grpSp>
      <xdr:nvGrpSpPr>
        <xdr:cNvPr id="218" name="$B$2" descr="Linear barcode, 51 modules" title="111411122211132122231121141111111">
          <a:extLst>
            <a:ext uri="{FF2B5EF4-FFF2-40B4-BE49-F238E27FC236}">
              <a16:creationId xmlns:a16="http://schemas.microsoft.com/office/drawing/2014/main" id="{ED4401C6-3D90-4FF5-98CB-1215724E40E9}"/>
            </a:ext>
          </a:extLst>
        </xdr:cNvPr>
        <xdr:cNvGrpSpPr>
          <a:grpSpLocks noChangeAspect="1"/>
        </xdr:cNvGrpSpPr>
      </xdr:nvGrpSpPr>
      <xdr:grpSpPr>
        <a:xfrm>
          <a:off x="1394012" y="365760"/>
          <a:ext cx="1562996" cy="365760"/>
          <a:chOff x="0" y="12700"/>
          <a:chExt cx="647700" cy="12700"/>
        </a:xfrm>
      </xdr:grpSpPr>
      <xdr:sp macro="" textlink="">
        <xdr:nvSpPr>
          <xdr:cNvPr id="201" name="$B$2">
            <a:extLst>
              <a:ext uri="{FF2B5EF4-FFF2-40B4-BE49-F238E27FC236}">
                <a16:creationId xmlns:a16="http://schemas.microsoft.com/office/drawing/2014/main" id="{9EFCFC58-9D83-4E0E-B4C1-8E263D42FAD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2" name="$B$2">
            <a:extLst>
              <a:ext uri="{FF2B5EF4-FFF2-40B4-BE49-F238E27FC236}">
                <a16:creationId xmlns:a16="http://schemas.microsoft.com/office/drawing/2014/main" id="{4E4B16E6-AC78-4597-A002-A36D3CF29C59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3" name="$B$2">
            <a:extLst>
              <a:ext uri="{FF2B5EF4-FFF2-40B4-BE49-F238E27FC236}">
                <a16:creationId xmlns:a16="http://schemas.microsoft.com/office/drawing/2014/main" id="{1413B5BC-7764-4D56-AFE3-BA45AEAF69B9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4" name="$B$2">
            <a:extLst>
              <a:ext uri="{FF2B5EF4-FFF2-40B4-BE49-F238E27FC236}">
                <a16:creationId xmlns:a16="http://schemas.microsoft.com/office/drawing/2014/main" id="{8716EFAF-3A2B-41C3-8782-7186565CE1E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$B$2">
            <a:extLst>
              <a:ext uri="{FF2B5EF4-FFF2-40B4-BE49-F238E27FC236}">
                <a16:creationId xmlns:a16="http://schemas.microsoft.com/office/drawing/2014/main" id="{4A2E3303-11AF-45BB-8C54-6672ABA646F0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6" name="$B$2">
            <a:extLst>
              <a:ext uri="{FF2B5EF4-FFF2-40B4-BE49-F238E27FC236}">
                <a16:creationId xmlns:a16="http://schemas.microsoft.com/office/drawing/2014/main" id="{ACACAAA9-027E-4D3D-82D2-C2253C9E5CB3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7" name="$B$2">
            <a:extLst>
              <a:ext uri="{FF2B5EF4-FFF2-40B4-BE49-F238E27FC236}">
                <a16:creationId xmlns:a16="http://schemas.microsoft.com/office/drawing/2014/main" id="{472E4A9B-09CB-4D9C-AB82-9C2FF0189C13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8" name="$B$2">
            <a:extLst>
              <a:ext uri="{FF2B5EF4-FFF2-40B4-BE49-F238E27FC236}">
                <a16:creationId xmlns:a16="http://schemas.microsoft.com/office/drawing/2014/main" id="{CA637453-FB08-454B-AD79-4A84E5E45C20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9" name="$B$2">
            <a:extLst>
              <a:ext uri="{FF2B5EF4-FFF2-40B4-BE49-F238E27FC236}">
                <a16:creationId xmlns:a16="http://schemas.microsoft.com/office/drawing/2014/main" id="{EA34BB48-9D72-405A-9E76-D0E9F1ABC5C2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$B$2">
            <a:extLst>
              <a:ext uri="{FF2B5EF4-FFF2-40B4-BE49-F238E27FC236}">
                <a16:creationId xmlns:a16="http://schemas.microsoft.com/office/drawing/2014/main" id="{D1CF2493-946A-46FD-9FB3-905F9BBF0642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1" name="$B$2">
            <a:extLst>
              <a:ext uri="{FF2B5EF4-FFF2-40B4-BE49-F238E27FC236}">
                <a16:creationId xmlns:a16="http://schemas.microsoft.com/office/drawing/2014/main" id="{6C679C7C-C608-4315-8617-30FCF912A728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2" name="$B$2">
            <a:extLst>
              <a:ext uri="{FF2B5EF4-FFF2-40B4-BE49-F238E27FC236}">
                <a16:creationId xmlns:a16="http://schemas.microsoft.com/office/drawing/2014/main" id="{61030CB3-7061-4623-ACBF-0045773D3EE0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3" name="$B$2">
            <a:extLst>
              <a:ext uri="{FF2B5EF4-FFF2-40B4-BE49-F238E27FC236}">
                <a16:creationId xmlns:a16="http://schemas.microsoft.com/office/drawing/2014/main" id="{D17679DF-F22C-4EB4-87AB-11A5204BFE1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$B$2">
            <a:extLst>
              <a:ext uri="{FF2B5EF4-FFF2-40B4-BE49-F238E27FC236}">
                <a16:creationId xmlns:a16="http://schemas.microsoft.com/office/drawing/2014/main" id="{E4D70D72-69D6-444D-A375-F4E2F7A11DEC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5" name="$B$2">
            <a:extLst>
              <a:ext uri="{FF2B5EF4-FFF2-40B4-BE49-F238E27FC236}">
                <a16:creationId xmlns:a16="http://schemas.microsoft.com/office/drawing/2014/main" id="{B092E021-1B7C-44DC-B99C-866531AD9BBA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6" name="$B$2">
            <a:extLst>
              <a:ext uri="{FF2B5EF4-FFF2-40B4-BE49-F238E27FC236}">
                <a16:creationId xmlns:a16="http://schemas.microsoft.com/office/drawing/2014/main" id="{070BDD3C-1F8D-4D3F-8A02-34E7FD9CBC98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7" name="$B$2">
            <a:extLst>
              <a:ext uri="{FF2B5EF4-FFF2-40B4-BE49-F238E27FC236}">
                <a16:creationId xmlns:a16="http://schemas.microsoft.com/office/drawing/2014/main" id="{2DF94E54-3D62-4B45-B47B-9618A94B3225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44BA-FE8E-45BC-B12D-399BC0F34BC4}">
  <sheetPr codeName="Sheet1"/>
  <dimension ref="A1:F11"/>
  <sheetViews>
    <sheetView tabSelected="1" workbookViewId="0">
      <selection activeCell="D5" sqref="D5"/>
    </sheetView>
  </sheetViews>
  <sheetFormatPr defaultRowHeight="14.4" x14ac:dyDescent="0.3"/>
  <cols>
    <col min="1" max="1" width="14.109375" bestFit="1" customWidth="1"/>
    <col min="2" max="2" width="35.109375" customWidth="1"/>
    <col min="3" max="3" width="15.6640625" customWidth="1"/>
    <col min="4" max="4" width="22.77734375" customWidth="1"/>
    <col min="5" max="5" width="24" customWidth="1"/>
    <col min="6" max="6" width="18.88671875" customWidth="1"/>
  </cols>
  <sheetData>
    <row r="1" spans="1:6" ht="112.2" customHeight="1" x14ac:dyDescent="0.3">
      <c r="A1">
        <v>123456789</v>
      </c>
      <c r="B1" t="str" cm="1">
        <f t="array" ref="B1">PDF_417(A1)</f>
        <v/>
      </c>
      <c r="C1" t="str" cm="1">
        <f t="array" ref="C1">[0]!QRCode(A1)</f>
        <v/>
      </c>
      <c r="D1" t="str" cm="1">
        <f t="array" ref="D1">[0]!DataMatrix(A1)</f>
        <v/>
      </c>
      <c r="E1" t="str" cm="1">
        <f t="array" ref="E1">[0]!Code128(A1)</f>
        <v/>
      </c>
      <c r="F1" t="str" cm="1">
        <f t="array" ref="F1">[0]!Aztec(A1)</f>
        <v/>
      </c>
    </row>
    <row r="2" spans="1:6" ht="113.4" customHeight="1" x14ac:dyDescent="0.3">
      <c r="A2" t="s">
        <v>0</v>
      </c>
      <c r="B2" t="str" cm="1">
        <f t="array" ref="B2">PDF_417(A2)</f>
        <v/>
      </c>
      <c r="C2" t="str" cm="1">
        <f t="array" ref="C2">[0]!QRCode(A2)</f>
        <v/>
      </c>
      <c r="D2" t="str" cm="1">
        <f t="array" ref="D2">[0]!DataMatrix(A2)</f>
        <v/>
      </c>
      <c r="E2" t="str" cm="1">
        <f t="array" ref="E2">[0]!Code128(A2)</f>
        <v/>
      </c>
      <c r="F2" t="str" cm="1">
        <f t="array" ref="F2">[0]!Aztec(A2)</f>
        <v/>
      </c>
    </row>
    <row r="3" spans="1:6" ht="21" customHeight="1" x14ac:dyDescent="0.3">
      <c r="A3" s="1" t="s">
        <v>1</v>
      </c>
      <c r="B3" t="str" cm="1">
        <f t="array" ref="B3">UPCA(A3)</f>
        <v/>
      </c>
      <c r="C3" t="s">
        <v>10</v>
      </c>
    </row>
    <row r="4" spans="1:6" ht="21" customHeight="1" x14ac:dyDescent="0.3">
      <c r="A4" s="1" t="s">
        <v>2</v>
      </c>
      <c r="B4" t="str" cm="1">
        <f t="array" ref="B4">UPCE(A4)</f>
        <v/>
      </c>
      <c r="C4" t="s">
        <v>11</v>
      </c>
    </row>
    <row r="5" spans="1:6" ht="21" customHeight="1" x14ac:dyDescent="0.3">
      <c r="A5" s="1" t="s">
        <v>3</v>
      </c>
      <c r="B5" t="str" cm="1">
        <f t="array" ref="B5">EAN_13(A5)</f>
        <v/>
      </c>
      <c r="C5" t="s">
        <v>12</v>
      </c>
    </row>
    <row r="6" spans="1:6" ht="21" customHeight="1" x14ac:dyDescent="0.3">
      <c r="A6" s="1" t="s">
        <v>4</v>
      </c>
      <c r="B6" t="str" cm="1">
        <f t="array" ref="B6">UPCA(A6)</f>
        <v/>
      </c>
      <c r="C6" t="s">
        <v>13</v>
      </c>
    </row>
    <row r="7" spans="1:6" ht="21" customHeight="1" x14ac:dyDescent="0.3">
      <c r="A7" s="1" t="s">
        <v>5</v>
      </c>
      <c r="B7" t="str" cm="1">
        <f t="array" ref="B7">EAN_5(A7)</f>
        <v/>
      </c>
      <c r="C7" t="s">
        <v>14</v>
      </c>
    </row>
    <row r="8" spans="1:6" ht="21" customHeight="1" x14ac:dyDescent="0.3">
      <c r="A8" s="1" t="s">
        <v>6</v>
      </c>
      <c r="B8" t="str" cm="1">
        <f t="array" ref="B8">EAN_2(A8)</f>
        <v/>
      </c>
      <c r="C8" t="s">
        <v>15</v>
      </c>
    </row>
    <row r="9" spans="1:6" ht="21" customHeight="1" x14ac:dyDescent="0.3">
      <c r="A9" t="s">
        <v>7</v>
      </c>
      <c r="B9" t="str" cm="1">
        <f t="array" ref="B9">Code39(A9)</f>
        <v/>
      </c>
      <c r="C9" t="s">
        <v>16</v>
      </c>
    </row>
    <row r="10" spans="1:6" ht="21" customHeight="1" x14ac:dyDescent="0.3">
      <c r="A10" s="1" t="s">
        <v>8</v>
      </c>
      <c r="B10" t="str" cm="1">
        <f t="array" ref="B10">Code11(A10)</f>
        <v/>
      </c>
      <c r="C10" t="s">
        <v>17</v>
      </c>
    </row>
    <row r="11" spans="1:6" ht="21" customHeight="1" x14ac:dyDescent="0.3">
      <c r="A11" s="1" t="s">
        <v>9</v>
      </c>
      <c r="B11" t="str" cm="1">
        <f t="array" ref="B11">Code93(A11)</f>
        <v/>
      </c>
      <c r="C11" t="s">
        <v>18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7B94-AAA0-45F7-A4A0-8CCD3C97C472}">
  <sheetPr codeName="Sheet2"/>
  <dimension ref="A1:C9"/>
  <sheetViews>
    <sheetView workbookViewId="0"/>
  </sheetViews>
  <sheetFormatPr defaultRowHeight="14.4" x14ac:dyDescent="0.3"/>
  <cols>
    <col min="1" max="1" width="14.109375" bestFit="1" customWidth="1"/>
    <col min="2" max="2" width="35.21875" customWidth="1"/>
  </cols>
  <sheetData>
    <row r="1" spans="1:3" ht="28.8" customHeight="1" x14ac:dyDescent="0.3">
      <c r="A1" s="1" t="s">
        <v>1</v>
      </c>
      <c r="B1" t="str" cm="1">
        <f t="array" ref="B1">UPCA(A1)</f>
        <v/>
      </c>
      <c r="C1" t="s">
        <v>10</v>
      </c>
    </row>
    <row r="2" spans="1:3" ht="28.8" customHeight="1" x14ac:dyDescent="0.3">
      <c r="A2" s="1" t="s">
        <v>2</v>
      </c>
      <c r="B2" t="str" cm="1">
        <f t="array" ref="B2">UPCE(A2)</f>
        <v/>
      </c>
      <c r="C2" t="s">
        <v>11</v>
      </c>
    </row>
    <row r="3" spans="1:3" ht="28.8" customHeight="1" x14ac:dyDescent="0.3">
      <c r="A3" s="1" t="s">
        <v>3</v>
      </c>
      <c r="B3" t="str" cm="1">
        <f t="array" ref="B3">EAN_13(A3)</f>
        <v/>
      </c>
      <c r="C3" t="s">
        <v>12</v>
      </c>
    </row>
    <row r="4" spans="1:3" ht="28.8" customHeight="1" x14ac:dyDescent="0.3">
      <c r="A4" s="1" t="s">
        <v>4</v>
      </c>
      <c r="B4" t="str" cm="1">
        <f t="array" ref="B4">UPCA(A4)</f>
        <v/>
      </c>
      <c r="C4" t="s">
        <v>13</v>
      </c>
    </row>
    <row r="5" spans="1:3" ht="28.8" customHeight="1" x14ac:dyDescent="0.3">
      <c r="A5" s="1" t="s">
        <v>5</v>
      </c>
      <c r="B5" t="str" cm="1">
        <f t="array" ref="B5">EAN_5(A5)</f>
        <v/>
      </c>
      <c r="C5" t="s">
        <v>14</v>
      </c>
    </row>
    <row r="6" spans="1:3" ht="28.8" customHeight="1" x14ac:dyDescent="0.3">
      <c r="A6" s="1" t="s">
        <v>6</v>
      </c>
      <c r="B6" t="str" cm="1">
        <f t="array" ref="B6">EAN_2(A6)</f>
        <v/>
      </c>
      <c r="C6" t="s">
        <v>15</v>
      </c>
    </row>
    <row r="7" spans="1:3" ht="28.8" customHeight="1" x14ac:dyDescent="0.3">
      <c r="A7" t="s">
        <v>7</v>
      </c>
      <c r="B7" t="str" cm="1">
        <f t="array" ref="B7">Code39(A7)</f>
        <v/>
      </c>
      <c r="C7" t="s">
        <v>16</v>
      </c>
    </row>
    <row r="8" spans="1:3" ht="28.8" customHeight="1" x14ac:dyDescent="0.3">
      <c r="A8" s="1" t="s">
        <v>8</v>
      </c>
      <c r="B8" t="str" cm="1">
        <f t="array" ref="B8">Code11(A8)</f>
        <v/>
      </c>
      <c r="C8" t="s">
        <v>17</v>
      </c>
    </row>
    <row r="9" spans="1:3" ht="28.8" customHeight="1" x14ac:dyDescent="0.3">
      <c r="A9" s="1" t="s">
        <v>9</v>
      </c>
      <c r="B9" t="str" cm="1">
        <f t="array" ref="B9">Code93(A9)</f>
        <v/>
      </c>
      <c r="C9" t="s">
        <v>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Barcode Fx 2.0</dc:title>
  <dc:creator>Andrew Hirakawa</dc:creator>
  <dc:description>Function library for barcodes</dc:description>
  <cp:lastModifiedBy>Andrew Hirakawa</cp:lastModifiedBy>
  <dcterms:created xsi:type="dcterms:W3CDTF">2021-03-28T11:00:18Z</dcterms:created>
  <dcterms:modified xsi:type="dcterms:W3CDTF">2021-05-06T02:25:48Z</dcterms:modified>
</cp:coreProperties>
</file>