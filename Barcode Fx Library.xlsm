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c558666a0d167a4/Documents/Visual Basic for Applications/Barcodes/"/>
    </mc:Choice>
  </mc:AlternateContent>
  <xr:revisionPtr revIDLastSave="4017" documentId="8_{91D5655A-35CE-478F-8584-6998E53DFB72}" xr6:coauthVersionLast="47" xr6:coauthVersionMax="47" xr10:uidLastSave="{CDC50838-ADE2-4664-9B10-5B4145D8A232}"/>
  <bookViews>
    <workbookView xWindow="-108" yWindow="-108" windowWidth="23256" windowHeight="12576" activeTab="1" xr2:uid="{0396B224-88E3-4F55-A0D6-069E690A6C6A}"/>
  </bookViews>
  <sheets>
    <sheet name="Sheet1" sheetId="1" r:id="rId1"/>
    <sheet name="Sheet2" sheetId="2" r:id="rId2"/>
  </sheets>
  <functionGroups builtInGroupCount="19">
    <functionGroup name="Barcode"/>
  </functionGroup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be encoded.</x14:argumentDescription>
            <x14:argumentDescription index="1">OPTIONAL Percentage of checkwords used for security (1% to 90%) [Default=23%].</x14:argumentDescription>
            <x14:argumentDescription index="2">OPTIONAL Number of layers (0 to 32) [Default=1]</x14:argumentDescription>
          </x14:argumentDescriptions>
        </x14:definedName>
        <x14:definedName name="Code11">
          <x14:argumentDescriptions count="1">
            <x14:argumentDescription index="0">Text to be encoded.</x14:argumentDescription>
          </x14:argumentDescriptions>
        </x14:definedName>
        <x14:definedName name="Code128">
          <x14:argumentDescriptions count="1">
            <x14:argumentDescription index="0">Text to be encoded.</x14:argumentDescription>
          </x14:argumentDescriptions>
        </x14:definedName>
        <x14:definedName name="Code39">
          <x14:argumentDescriptions count="2">
            <x14:argumentDescription index="0">Text to be encoded.</x14:argumentDescription>
            <x14:argumentDescription index="1">OPTIONAL Include check digit [Default=False]</x14:argumentDescription>
          </x14:argumentDescriptions>
        </x14:definedName>
        <x14:definedName name="Code93">
          <x14:argumentDescriptions count="1">
            <x14:argumentDescription index="0">Text to be encoded.</x14:argumentDescription>
          </x14:argumentDescriptions>
        </x14:definedName>
        <x14:definedName name="CODEXCIII">
          <x14:argumentDescriptions count="1">
            <x14:argumentDescription index="0">Text to be encoded.</x14:argumentDescription>
          </x14:argumentDescriptions>
        </x14:definedName>
        <x14:definedName name="CodeXI">
          <x14:argumentDescriptions count="1">
            <x14:argumentDescription index="0">Text to be encoded.</x14:argumentDescription>
          </x14:argumentDescriptions>
        </x14:definedName>
        <x14:definedName name="CodeXXXIX">
          <x14:argumentDescriptions count="1">
            <x14:argumentDescription index="0">Text to be encoded.</x14:argumentDescription>
          </x14:argumentDescriptions>
        </x14:definedName>
        <x14:definedName name="DataMatrix">
          <x14:argumentDescriptions count="1">
            <x14:argumentDescription index="0">Text to be encoded.</x14:argumentDescription>
          </x14:argumentDescriptions>
        </x14:definedName>
        <x14:definedName name="DRAWLINEAR">
          <x14:argumentDescriptions count="1">
            <x14:argumentDescription index="0">Barcode string to be drawn.</x14:argumentDescription>
          </x14:argumentDescriptions>
        </x14:definedName>
        <x14:definedName name="EAN_13">
          <x14:argumentDescriptions count="1">
            <x14:argumentDescription index="0">Text to be encoded.</x14:argumentDescription>
          </x14:argumentDescriptions>
        </x14:definedName>
        <x14:definedName name="EAN_2">
          <x14:argumentDescriptions count="1">
            <x14:argumentDescription index="0">Text to be encoded.</x14:argumentDescription>
          </x14:argumentDescriptions>
        </x14:definedName>
        <x14:definedName name="EAN_5">
          <x14:argumentDescriptions count="1">
            <x14:argumentDescription index="0">Text to be encoded.</x14:argumentDescription>
          </x14:argumentDescriptions>
        </x14:definedName>
        <x14:definedName name="PDF_417">
          <x14:argumentDescriptions count="4">
            <x14:argumentDescription index="0">Text to be encoded.</x14:argumentDescription>
            <x14:argumentDescription index="1">OPTIONAL Security level [Default=-1]</x14:argumentDescription>
            <x14:argumentDescription index="2">OPTIONAL Number of columns [Default=1]</x14:argumentDescription>
            <x14:argumentDescription index="3">OPTIONAL Code Error</x14:argumentDescription>
          </x14:argumentDescriptions>
        </x14:definedName>
        <x14:definedName name="PDFIVXVII">
          <x14:argumentDescriptions count="4">
            <x14:argumentDescription index="0">Text to be encoded.</x14:argumentDescription>
            <x14:argumentDescription index="1">OPTIONAL Security level [Default=-1]</x14:argumentDescription>
            <x14:argumentDescription index="2">OPTIONAL Number of columns [Default=1]</x14:argumentDescription>
            <x14:argumentDescription index="3">OPTIONAL Code Error</x14:argumentDescription>
          </x14:argumentDescriptions>
        </x14:definedName>
        <x14:definedName name="QRCode">
          <x14:argumentDescriptions count="3">
            <x14:argumentDescription index="0">Text to be encoded.</x14:argumentDescription>
            <x14:argumentDescription index="1">OPTIONAL Security level "LMQH"_x000D_
low, medium, quartile, high_x000D_
[Default=L]</x14:argumentDescription>
            <x14:argumentDescription index="2">OPTIONAL Minimum version size(-3 to 40) [Default=1]_x000D_
MicroQR M1:-3, M2:-2, M3:-1, M4:0</x14:argumentDescription>
          </x14:argumentDescriptions>
        </x14:definedName>
        <x14:definedName name="UPCA">
          <x14:argumentDescriptions count="1">
            <x14:argumentDescription index="0">Text to be encoded.</x14:argumentDescription>
          </x14:argumentDescriptions>
        </x14:definedName>
        <x14:definedName name="UPCE">
          <x14:argumentDescriptions count="1">
            <x14:argumentDescription index="0">Text to be encoded.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1" l="1" a="1"/>
  <c r="E1" i="1" a="1"/>
  <c r="B6" i="1" a="1"/>
  <c r="B6" i="2" a="1"/>
  <c r="B1" i="1" a="1"/>
  <c r="B5" i="2" a="1"/>
  <c r="F2" i="1" a="1"/>
  <c r="D2" i="1" a="1"/>
  <c r="B7" i="1" a="1"/>
  <c r="B7" i="2" a="1"/>
  <c r="B2" i="1" a="1"/>
  <c r="B2" i="2" a="1"/>
  <c r="C1" i="1" a="1"/>
  <c r="B1" i="2" a="1"/>
  <c r="B10" i="2" a="1"/>
  <c r="B4" i="2" a="1"/>
  <c r="D1" i="1" a="1"/>
  <c r="B10" i="1" a="1"/>
  <c r="E2" i="1" a="1"/>
  <c r="B5" i="1" a="1"/>
  <c r="B9" i="2" a="1"/>
  <c r="B8" i="2" a="1"/>
  <c r="B3" i="1" a="1"/>
  <c r="B3" i="2" a="1"/>
  <c r="C2" i="1" a="1"/>
  <c r="B9" i="1" a="1"/>
  <c r="F1" i="1" a="1"/>
  <c r="B8" i="1" a="1"/>
  <c r="B4" i="1" a="1"/>
  <c r="B11" i="2" a="1"/>
  <c r="B11" i="2" l="1"/>
  <c r="B10" i="2"/>
  <c r="F2" i="1"/>
  <c r="B4" i="1"/>
  <c r="B8" i="1"/>
  <c r="B1" i="2"/>
  <c r="B5" i="2"/>
  <c r="B9" i="2"/>
  <c r="F1" i="1"/>
  <c r="C1" i="1"/>
  <c r="B1" i="1"/>
  <c r="B5" i="1"/>
  <c r="B9" i="1"/>
  <c r="B2" i="2"/>
  <c r="B6" i="2"/>
  <c r="E2" i="1"/>
  <c r="C2" i="1"/>
  <c r="B2" i="1"/>
  <c r="B6" i="1"/>
  <c r="B10" i="1"/>
  <c r="B3" i="2"/>
  <c r="B7" i="2"/>
  <c r="E1" i="1"/>
  <c r="D1" i="1"/>
  <c r="B3" i="1"/>
  <c r="B7" i="1"/>
  <c r="B11" i="1"/>
  <c r="B4" i="2"/>
  <c r="B8" i="2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<sst xmlns="http://schemas.openxmlformats.org/spreadsheetml/2006/main" count="41" uniqueCount="23">
  <si>
    <t>test</t>
  </si>
  <si>
    <t>614141000036</t>
  </si>
  <si>
    <t>0614193</t>
  </si>
  <si>
    <t>9501101530003</t>
  </si>
  <si>
    <t>95050003</t>
  </si>
  <si>
    <t>54495</t>
  </si>
  <si>
    <t>05</t>
  </si>
  <si>
    <t>ABC</t>
  </si>
  <si>
    <t>0123452</t>
  </si>
  <si>
    <t>barcode</t>
  </si>
  <si>
    <t>UPC-A</t>
  </si>
  <si>
    <t>UPC-E</t>
  </si>
  <si>
    <t>EAN-13</t>
  </si>
  <si>
    <t>EAN-8</t>
  </si>
  <si>
    <t>EAN-5</t>
  </si>
  <si>
    <t>EAN-2</t>
  </si>
  <si>
    <t>Code 39</t>
  </si>
  <si>
    <t>Code 11</t>
  </si>
  <si>
    <t>Code 93</t>
  </si>
  <si>
    <t>ITF</t>
  </si>
  <si>
    <t>123456</t>
  </si>
  <si>
    <t>ITF-14</t>
  </si>
  <si>
    <t>0012345600001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</si>
</sst>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76200</xdr:colOff>
      <xdr:row>1</xdr:row>
      <xdr:rowOff>148590</xdr:rowOff>
    </xdr:from>
    <xdr:to>
      <xdr:col>5</xdr:col>
      <xdr:colOff>1219200</xdr:colOff>
      <xdr:row>1</xdr:row>
      <xdr:rowOff>1291590</xdr:rowOff>
    </xdr:to>
    <xdr:grpSp>
      <xdr:nvGrpSpPr>
        <xdr:cNvPr id="42238" name="$F$2" descr="Aztec compact barcode, security 71%, layers 1, 15x15 cells" title="test">
          <a:extLst>
            <a:ext uri="{FF2B5EF4-FFF2-40B4-BE49-F238E27FC236}">
              <a16:creationId xmlns:a16="http://schemas.microsoft.com/office/drawing/2014/main" id="{E513F106-852B-4CF5-BA78-2588227B21CE}"/>
            </a:ext>
          </a:extLst>
        </xdr:cNvPr>
        <xdr:cNvGrpSpPr>
          <a:grpSpLocks noChangeAspect="1"/>
        </xdr:cNvGrpSpPr>
      </xdr:nvGrpSpPr>
      <xdr:grpSpPr>
        <a:xfrm>
          <a:off x="8153400" y="1573530"/>
          <a:ext cx="1143000" cy="1143000"/>
          <a:chOff x="0" y="0"/>
          <a:chExt cx="190500" cy="190500"/>
        </a:xfrm>
        <a:solidFill>
          <a:srgbClr val="000000"/>
        </a:solidFill>
      </xdr:grpSpPr>
      <xdr:sp macro="" textlink="">
        <xdr:nvSpPr>
          <xdr:cNvPr id="42122" name="$F$2">
            <a:extLst>
              <a:ext uri="{FF2B5EF4-FFF2-40B4-BE49-F238E27FC236}">
                <a16:creationId xmlns:a16="http://schemas.microsoft.com/office/drawing/2014/main" id="{DC23F394-9C5D-4C8A-8290-9B694E8FD60C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23" name="$F$2">
            <a:extLst>
              <a:ext uri="{FF2B5EF4-FFF2-40B4-BE49-F238E27FC236}">
                <a16:creationId xmlns:a16="http://schemas.microsoft.com/office/drawing/2014/main" id="{DC81EDC6-89BB-4D6A-9E4F-BBB04C60B5DC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24" name="$F$2">
            <a:extLst>
              <a:ext uri="{FF2B5EF4-FFF2-40B4-BE49-F238E27FC236}">
                <a16:creationId xmlns:a16="http://schemas.microsoft.com/office/drawing/2014/main" id="{80DA1E88-2BA4-4599-BC5E-F895076FA3F0}"/>
              </a:ext>
            </a:extLst>
          </xdr:cNvPr>
          <xdr:cNvSpPr/>
        </xdr:nvSpPr>
        <xdr:spPr>
          <a:xfrm>
            <a:off x="63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25" name="$F$2">
            <a:extLst>
              <a:ext uri="{FF2B5EF4-FFF2-40B4-BE49-F238E27FC236}">
                <a16:creationId xmlns:a16="http://schemas.microsoft.com/office/drawing/2014/main" id="{9360C74D-BEED-4977-B19B-24AA1D3ABBEB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26" name="$F$2">
            <a:extLst>
              <a:ext uri="{FF2B5EF4-FFF2-40B4-BE49-F238E27FC236}">
                <a16:creationId xmlns:a16="http://schemas.microsoft.com/office/drawing/2014/main" id="{DA7C860B-EEBA-40B7-A24A-BEC3C5BA8C37}"/>
              </a:ext>
            </a:extLst>
          </xdr:cNvPr>
          <xdr:cNvSpPr/>
        </xdr:nvSpPr>
        <xdr:spPr>
          <a:xfrm>
            <a:off x="889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27" name="$F$2">
            <a:extLst>
              <a:ext uri="{FF2B5EF4-FFF2-40B4-BE49-F238E27FC236}">
                <a16:creationId xmlns:a16="http://schemas.microsoft.com/office/drawing/2014/main" id="{E04DF7A5-E272-49BD-99D5-A52424C9B489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28" name="$F$2">
            <a:extLst>
              <a:ext uri="{FF2B5EF4-FFF2-40B4-BE49-F238E27FC236}">
                <a16:creationId xmlns:a16="http://schemas.microsoft.com/office/drawing/2014/main" id="{4FE4D97A-F064-4066-B49B-3FB5DD2221E5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29" name="$F$2">
            <a:extLst>
              <a:ext uri="{FF2B5EF4-FFF2-40B4-BE49-F238E27FC236}">
                <a16:creationId xmlns:a16="http://schemas.microsoft.com/office/drawing/2014/main" id="{115B3928-A55C-4D0E-B530-5A0B327C7902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0" name="$F$2">
            <a:extLst>
              <a:ext uri="{FF2B5EF4-FFF2-40B4-BE49-F238E27FC236}">
                <a16:creationId xmlns:a16="http://schemas.microsoft.com/office/drawing/2014/main" id="{32240672-98A9-46EA-AF95-F1D5C6B5EA37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1" name="$F$2">
            <a:extLst>
              <a:ext uri="{FF2B5EF4-FFF2-40B4-BE49-F238E27FC236}">
                <a16:creationId xmlns:a16="http://schemas.microsoft.com/office/drawing/2014/main" id="{8E34A1F0-B39C-4A75-BD7E-8F7897CF6F13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2" name="$F$2">
            <a:extLst>
              <a:ext uri="{FF2B5EF4-FFF2-40B4-BE49-F238E27FC236}">
                <a16:creationId xmlns:a16="http://schemas.microsoft.com/office/drawing/2014/main" id="{9560FF68-BB97-4AEA-A16E-CDD19A703D52}"/>
              </a:ext>
            </a:extLst>
          </xdr:cNvPr>
          <xdr:cNvSpPr/>
        </xdr:nvSpPr>
        <xdr:spPr>
          <a:xfrm>
            <a:off x="1397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3" name="$F$2">
            <a:extLst>
              <a:ext uri="{FF2B5EF4-FFF2-40B4-BE49-F238E27FC236}">
                <a16:creationId xmlns:a16="http://schemas.microsoft.com/office/drawing/2014/main" id="{773BCE9A-0F86-4539-ACC3-59EEACCDEF67}"/>
              </a:ext>
            </a:extLst>
          </xdr:cNvPr>
          <xdr:cNvSpPr/>
        </xdr:nvSpPr>
        <xdr:spPr>
          <a:xfrm>
            <a:off x="381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4" name="$F$2">
            <a:extLst>
              <a:ext uri="{FF2B5EF4-FFF2-40B4-BE49-F238E27FC236}">
                <a16:creationId xmlns:a16="http://schemas.microsoft.com/office/drawing/2014/main" id="{2BB3E77F-CCAD-4A67-92FB-869971D3B9CB}"/>
              </a:ext>
            </a:extLst>
          </xdr:cNvPr>
          <xdr:cNvSpPr/>
        </xdr:nvSpPr>
        <xdr:spPr>
          <a:xfrm>
            <a:off x="63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5" name="$F$2">
            <a:extLst>
              <a:ext uri="{FF2B5EF4-FFF2-40B4-BE49-F238E27FC236}">
                <a16:creationId xmlns:a16="http://schemas.microsoft.com/office/drawing/2014/main" id="{5CDC2B14-81C0-4434-B3C7-CA7A9286AEC1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6" name="$F$2">
            <a:extLst>
              <a:ext uri="{FF2B5EF4-FFF2-40B4-BE49-F238E27FC236}">
                <a16:creationId xmlns:a16="http://schemas.microsoft.com/office/drawing/2014/main" id="{197D5C6B-7444-4EF3-BC91-A5425905E07B}"/>
              </a:ext>
            </a:extLst>
          </xdr:cNvPr>
          <xdr:cNvSpPr/>
        </xdr:nvSpPr>
        <xdr:spPr>
          <a:xfrm>
            <a:off x="889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7" name="$F$2">
            <a:extLst>
              <a:ext uri="{FF2B5EF4-FFF2-40B4-BE49-F238E27FC236}">
                <a16:creationId xmlns:a16="http://schemas.microsoft.com/office/drawing/2014/main" id="{3BD779AA-6466-41F1-B34F-FD9B247362BC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8" name="$F$2">
            <a:extLst>
              <a:ext uri="{FF2B5EF4-FFF2-40B4-BE49-F238E27FC236}">
                <a16:creationId xmlns:a16="http://schemas.microsoft.com/office/drawing/2014/main" id="{E8F847F3-4BBB-4DBF-B5AA-4A27F473BF26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9" name="$F$2">
            <a:extLst>
              <a:ext uri="{FF2B5EF4-FFF2-40B4-BE49-F238E27FC236}">
                <a16:creationId xmlns:a16="http://schemas.microsoft.com/office/drawing/2014/main" id="{05566597-5A44-4C50-B3B0-ED39C88B8E4B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0" name="$F$2">
            <a:extLst>
              <a:ext uri="{FF2B5EF4-FFF2-40B4-BE49-F238E27FC236}">
                <a16:creationId xmlns:a16="http://schemas.microsoft.com/office/drawing/2014/main" id="{094C0DB8-8E09-4D4C-8B34-810CC316B895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1" name="$F$2">
            <a:extLst>
              <a:ext uri="{FF2B5EF4-FFF2-40B4-BE49-F238E27FC236}">
                <a16:creationId xmlns:a16="http://schemas.microsoft.com/office/drawing/2014/main" id="{B1121CBB-CBD7-4E0E-BCCD-44E21B5FFC21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2" name="$F$2">
            <a:extLst>
              <a:ext uri="{FF2B5EF4-FFF2-40B4-BE49-F238E27FC236}">
                <a16:creationId xmlns:a16="http://schemas.microsoft.com/office/drawing/2014/main" id="{D60E128B-636A-4C8B-89A8-39DEE618579F}"/>
              </a:ext>
            </a:extLst>
          </xdr:cNvPr>
          <xdr:cNvSpPr/>
        </xdr:nvSpPr>
        <xdr:spPr>
          <a:xfrm>
            <a:off x="1143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3" name="$F$2">
            <a:extLst>
              <a:ext uri="{FF2B5EF4-FFF2-40B4-BE49-F238E27FC236}">
                <a16:creationId xmlns:a16="http://schemas.microsoft.com/office/drawing/2014/main" id="{E4240B92-DCC6-41D0-A5D1-6A3B402DA673}"/>
              </a:ext>
            </a:extLst>
          </xdr:cNvPr>
          <xdr:cNvSpPr/>
        </xdr:nvSpPr>
        <xdr:spPr>
          <a:xfrm>
            <a:off x="139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4" name="$F$2">
            <a:extLst>
              <a:ext uri="{FF2B5EF4-FFF2-40B4-BE49-F238E27FC236}">
                <a16:creationId xmlns:a16="http://schemas.microsoft.com/office/drawing/2014/main" id="{2D59B4BE-D821-41A1-A569-8D52F231DF76}"/>
              </a:ext>
            </a:extLst>
          </xdr:cNvPr>
          <xdr:cNvSpPr/>
        </xdr:nvSpPr>
        <xdr:spPr>
          <a:xfrm>
            <a:off x="38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5" name="$F$2">
            <a:extLst>
              <a:ext uri="{FF2B5EF4-FFF2-40B4-BE49-F238E27FC236}">
                <a16:creationId xmlns:a16="http://schemas.microsoft.com/office/drawing/2014/main" id="{49B2794D-42BD-4925-9F1B-566D3BDDCC7E}"/>
              </a:ext>
            </a:extLst>
          </xdr:cNvPr>
          <xdr:cNvSpPr/>
        </xdr:nvSpPr>
        <xdr:spPr>
          <a:xfrm>
            <a:off x="63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6" name="$F$2">
            <a:extLst>
              <a:ext uri="{FF2B5EF4-FFF2-40B4-BE49-F238E27FC236}">
                <a16:creationId xmlns:a16="http://schemas.microsoft.com/office/drawing/2014/main" id="{D58B5655-BD70-4B94-A23C-4628FD0878A6}"/>
              </a:ext>
            </a:extLst>
          </xdr:cNvPr>
          <xdr:cNvSpPr/>
        </xdr:nvSpPr>
        <xdr:spPr>
          <a:xfrm>
            <a:off x="889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7" name="$F$2">
            <a:extLst>
              <a:ext uri="{FF2B5EF4-FFF2-40B4-BE49-F238E27FC236}">
                <a16:creationId xmlns:a16="http://schemas.microsoft.com/office/drawing/2014/main" id="{1D7E58D8-5D6C-4270-9E34-2658130C1D95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8" name="$F$2">
            <a:extLst>
              <a:ext uri="{FF2B5EF4-FFF2-40B4-BE49-F238E27FC236}">
                <a16:creationId xmlns:a16="http://schemas.microsoft.com/office/drawing/2014/main" id="{187FEEA8-CD16-4ECF-BED6-3AF46BF2BB93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9" name="$F$2">
            <a:extLst>
              <a:ext uri="{FF2B5EF4-FFF2-40B4-BE49-F238E27FC236}">
                <a16:creationId xmlns:a16="http://schemas.microsoft.com/office/drawing/2014/main" id="{558AB469-AD8B-4F5D-A89D-60E230238E6C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0" name="$F$2">
            <a:extLst>
              <a:ext uri="{FF2B5EF4-FFF2-40B4-BE49-F238E27FC236}">
                <a16:creationId xmlns:a16="http://schemas.microsoft.com/office/drawing/2014/main" id="{6A9E018F-BF4C-4351-9C6C-36554DDA0D28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1" name="$F$2">
            <a:extLst>
              <a:ext uri="{FF2B5EF4-FFF2-40B4-BE49-F238E27FC236}">
                <a16:creationId xmlns:a16="http://schemas.microsoft.com/office/drawing/2014/main" id="{7A3F1411-1566-421E-ADFD-61D3FEF19473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2" name="$F$2">
            <a:extLst>
              <a:ext uri="{FF2B5EF4-FFF2-40B4-BE49-F238E27FC236}">
                <a16:creationId xmlns:a16="http://schemas.microsoft.com/office/drawing/2014/main" id="{3B8CFAD8-2260-4D61-B4C4-56C0564A404B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3" name="$F$2">
            <a:extLst>
              <a:ext uri="{FF2B5EF4-FFF2-40B4-BE49-F238E27FC236}">
                <a16:creationId xmlns:a16="http://schemas.microsoft.com/office/drawing/2014/main" id="{932370FA-76B0-440E-B343-7F1C839F616F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4" name="$F$2">
            <a:extLst>
              <a:ext uri="{FF2B5EF4-FFF2-40B4-BE49-F238E27FC236}">
                <a16:creationId xmlns:a16="http://schemas.microsoft.com/office/drawing/2014/main" id="{BB8360C5-5A8C-437E-8287-D1FF81E591B1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5" name="$F$2">
            <a:extLst>
              <a:ext uri="{FF2B5EF4-FFF2-40B4-BE49-F238E27FC236}">
                <a16:creationId xmlns:a16="http://schemas.microsoft.com/office/drawing/2014/main" id="{1B3DFC2A-FF00-4864-8BB0-0DC16274CB9B}"/>
              </a:ext>
            </a:extLst>
          </xdr:cNvPr>
          <xdr:cNvSpPr/>
        </xdr:nvSpPr>
        <xdr:spPr>
          <a:xfrm>
            <a:off x="76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6" name="$F$2">
            <a:extLst>
              <a:ext uri="{FF2B5EF4-FFF2-40B4-BE49-F238E27FC236}">
                <a16:creationId xmlns:a16="http://schemas.microsoft.com/office/drawing/2014/main" id="{AB31D48C-04D4-4EA0-AB51-A3B114FC62B1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7" name="$F$2">
            <a:extLst>
              <a:ext uri="{FF2B5EF4-FFF2-40B4-BE49-F238E27FC236}">
                <a16:creationId xmlns:a16="http://schemas.microsoft.com/office/drawing/2014/main" id="{01FE1B55-6A7F-4B7E-9553-F3E4CD55F22E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8" name="$F$2">
            <a:extLst>
              <a:ext uri="{FF2B5EF4-FFF2-40B4-BE49-F238E27FC236}">
                <a16:creationId xmlns:a16="http://schemas.microsoft.com/office/drawing/2014/main" id="{FB4D5C19-0B3A-4F39-8D72-7229F94D9256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9" name="$F$2">
            <a:extLst>
              <a:ext uri="{FF2B5EF4-FFF2-40B4-BE49-F238E27FC236}">
                <a16:creationId xmlns:a16="http://schemas.microsoft.com/office/drawing/2014/main" id="{88FDE6EB-1175-4109-8251-CA5B3566AD10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0" name="$F$2">
            <a:extLst>
              <a:ext uri="{FF2B5EF4-FFF2-40B4-BE49-F238E27FC236}">
                <a16:creationId xmlns:a16="http://schemas.microsoft.com/office/drawing/2014/main" id="{97E2D36A-43D1-4250-8A2D-F057897B669A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1" name="$F$2">
            <a:extLst>
              <a:ext uri="{FF2B5EF4-FFF2-40B4-BE49-F238E27FC236}">
                <a16:creationId xmlns:a16="http://schemas.microsoft.com/office/drawing/2014/main" id="{DCA45EB8-D1CB-489D-86DE-0E12FCFC5379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2" name="$F$2">
            <a:extLst>
              <a:ext uri="{FF2B5EF4-FFF2-40B4-BE49-F238E27FC236}">
                <a16:creationId xmlns:a16="http://schemas.microsoft.com/office/drawing/2014/main" id="{C48724F8-DD3E-4A8D-B75B-64C81C280E99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3" name="$F$2">
            <a:extLst>
              <a:ext uri="{FF2B5EF4-FFF2-40B4-BE49-F238E27FC236}">
                <a16:creationId xmlns:a16="http://schemas.microsoft.com/office/drawing/2014/main" id="{C6C960E2-345C-4943-AC78-66B4EFB6E286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4" name="$F$2">
            <a:extLst>
              <a:ext uri="{FF2B5EF4-FFF2-40B4-BE49-F238E27FC236}">
                <a16:creationId xmlns:a16="http://schemas.microsoft.com/office/drawing/2014/main" id="{0E281219-FB3D-4CB5-AC75-4C5ED706882B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5" name="$F$2">
            <a:extLst>
              <a:ext uri="{FF2B5EF4-FFF2-40B4-BE49-F238E27FC236}">
                <a16:creationId xmlns:a16="http://schemas.microsoft.com/office/drawing/2014/main" id="{808549CD-37E4-4E0A-9549-04A99D82E72E}"/>
              </a:ext>
            </a:extLst>
          </xdr:cNvPr>
          <xdr:cNvSpPr/>
        </xdr:nvSpPr>
        <xdr:spPr>
          <a:xfrm>
            <a:off x="76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6" name="$F$2">
            <a:extLst>
              <a:ext uri="{FF2B5EF4-FFF2-40B4-BE49-F238E27FC236}">
                <a16:creationId xmlns:a16="http://schemas.microsoft.com/office/drawing/2014/main" id="{5544E0BE-F6B4-4C24-BDAD-18878134CFA2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7" name="$F$2">
            <a:extLst>
              <a:ext uri="{FF2B5EF4-FFF2-40B4-BE49-F238E27FC236}">
                <a16:creationId xmlns:a16="http://schemas.microsoft.com/office/drawing/2014/main" id="{F53DAEC5-8E3D-4F29-8234-05CE642B1F49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8" name="$F$2">
            <a:extLst>
              <a:ext uri="{FF2B5EF4-FFF2-40B4-BE49-F238E27FC236}">
                <a16:creationId xmlns:a16="http://schemas.microsoft.com/office/drawing/2014/main" id="{E1769314-AF49-4FED-88E9-C6DA4400E7B5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9" name="$F$2">
            <a:extLst>
              <a:ext uri="{FF2B5EF4-FFF2-40B4-BE49-F238E27FC236}">
                <a16:creationId xmlns:a16="http://schemas.microsoft.com/office/drawing/2014/main" id="{498B76AA-2D62-4206-8446-DA7F013C4362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0" name="$F$2">
            <a:extLst>
              <a:ext uri="{FF2B5EF4-FFF2-40B4-BE49-F238E27FC236}">
                <a16:creationId xmlns:a16="http://schemas.microsoft.com/office/drawing/2014/main" id="{F4E6B7BF-5328-4197-BBAD-1A931B4F8616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1" name="$F$2">
            <a:extLst>
              <a:ext uri="{FF2B5EF4-FFF2-40B4-BE49-F238E27FC236}">
                <a16:creationId xmlns:a16="http://schemas.microsoft.com/office/drawing/2014/main" id="{58AD0532-75B4-41B6-92D5-36E64BD3455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2" name="$F$2">
            <a:extLst>
              <a:ext uri="{FF2B5EF4-FFF2-40B4-BE49-F238E27FC236}">
                <a16:creationId xmlns:a16="http://schemas.microsoft.com/office/drawing/2014/main" id="{C16A04F8-D71D-47E4-8607-6A2826593E76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3" name="$F$2">
            <a:extLst>
              <a:ext uri="{FF2B5EF4-FFF2-40B4-BE49-F238E27FC236}">
                <a16:creationId xmlns:a16="http://schemas.microsoft.com/office/drawing/2014/main" id="{D13CC7D7-FEEC-4F62-938F-79DD9430356C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4" name="$F$2">
            <a:extLst>
              <a:ext uri="{FF2B5EF4-FFF2-40B4-BE49-F238E27FC236}">
                <a16:creationId xmlns:a16="http://schemas.microsoft.com/office/drawing/2014/main" id="{9715FBD2-AFBC-4DB0-A950-D193A9E059B2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5" name="$F$2">
            <a:extLst>
              <a:ext uri="{FF2B5EF4-FFF2-40B4-BE49-F238E27FC236}">
                <a16:creationId xmlns:a16="http://schemas.microsoft.com/office/drawing/2014/main" id="{9422ACA5-39F4-42C5-B19E-634CBCF04DBC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6" name="$F$2">
            <a:extLst>
              <a:ext uri="{FF2B5EF4-FFF2-40B4-BE49-F238E27FC236}">
                <a16:creationId xmlns:a16="http://schemas.microsoft.com/office/drawing/2014/main" id="{D0F1CA79-29EF-4255-AE87-9CD238DD1CF4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7" name="$F$2">
            <a:extLst>
              <a:ext uri="{FF2B5EF4-FFF2-40B4-BE49-F238E27FC236}">
                <a16:creationId xmlns:a16="http://schemas.microsoft.com/office/drawing/2014/main" id="{1A4BBD19-CF99-423F-B815-3B1C51A6D418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8" name="$F$2">
            <a:extLst>
              <a:ext uri="{FF2B5EF4-FFF2-40B4-BE49-F238E27FC236}">
                <a16:creationId xmlns:a16="http://schemas.microsoft.com/office/drawing/2014/main" id="{261C4D78-DC42-4826-BF98-572E1A2E9321}"/>
              </a:ext>
            </a:extLst>
          </xdr:cNvPr>
          <xdr:cNvSpPr/>
        </xdr:nvSpPr>
        <xdr:spPr>
          <a:xfrm>
            <a:off x="381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9" name="$F$2">
            <a:extLst>
              <a:ext uri="{FF2B5EF4-FFF2-40B4-BE49-F238E27FC236}">
                <a16:creationId xmlns:a16="http://schemas.microsoft.com/office/drawing/2014/main" id="{A9DE8D9A-756E-4529-8F55-D52B53C46EFC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0" name="$F$2">
            <a:extLst>
              <a:ext uri="{FF2B5EF4-FFF2-40B4-BE49-F238E27FC236}">
                <a16:creationId xmlns:a16="http://schemas.microsoft.com/office/drawing/2014/main" id="{A15FD7F4-4DAE-4431-A456-8866B945C520}"/>
              </a:ext>
            </a:extLst>
          </xdr:cNvPr>
          <xdr:cNvSpPr/>
        </xdr:nvSpPr>
        <xdr:spPr>
          <a:xfrm>
            <a:off x="50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1" name="$F$2">
            <a:extLst>
              <a:ext uri="{FF2B5EF4-FFF2-40B4-BE49-F238E27FC236}">
                <a16:creationId xmlns:a16="http://schemas.microsoft.com/office/drawing/2014/main" id="{0166FA99-B66F-48DD-BBF6-DDD42ADBF8D5}"/>
              </a:ext>
            </a:extLst>
          </xdr:cNvPr>
          <xdr:cNvSpPr/>
        </xdr:nvSpPr>
        <xdr:spPr>
          <a:xfrm>
            <a:off x="63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2" name="$F$2">
            <a:extLst>
              <a:ext uri="{FF2B5EF4-FFF2-40B4-BE49-F238E27FC236}">
                <a16:creationId xmlns:a16="http://schemas.microsoft.com/office/drawing/2014/main" id="{8372F69E-8F9A-4684-9179-8473A6CFC015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3" name="$F$2">
            <a:extLst>
              <a:ext uri="{FF2B5EF4-FFF2-40B4-BE49-F238E27FC236}">
                <a16:creationId xmlns:a16="http://schemas.microsoft.com/office/drawing/2014/main" id="{F31E8973-B262-427A-877C-418BFD2D0310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4" name="$F$2">
            <a:extLst>
              <a:ext uri="{FF2B5EF4-FFF2-40B4-BE49-F238E27FC236}">
                <a16:creationId xmlns:a16="http://schemas.microsoft.com/office/drawing/2014/main" id="{CC97A301-4E48-4CEC-B976-D99A68E145D4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5" name="$F$2">
            <a:extLst>
              <a:ext uri="{FF2B5EF4-FFF2-40B4-BE49-F238E27FC236}">
                <a16:creationId xmlns:a16="http://schemas.microsoft.com/office/drawing/2014/main" id="{DE0E4C9D-D63B-41C8-9987-3E715CAEF578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6" name="$F$2">
            <a:extLst>
              <a:ext uri="{FF2B5EF4-FFF2-40B4-BE49-F238E27FC236}">
                <a16:creationId xmlns:a16="http://schemas.microsoft.com/office/drawing/2014/main" id="{ADA1E09F-98B4-40E6-ACF5-61F58663DE5A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7" name="$F$2">
            <a:extLst>
              <a:ext uri="{FF2B5EF4-FFF2-40B4-BE49-F238E27FC236}">
                <a16:creationId xmlns:a16="http://schemas.microsoft.com/office/drawing/2014/main" id="{3D5FE153-6C21-494D-847C-DB24784EC39D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8" name="$F$2">
            <a:extLst>
              <a:ext uri="{FF2B5EF4-FFF2-40B4-BE49-F238E27FC236}">
                <a16:creationId xmlns:a16="http://schemas.microsoft.com/office/drawing/2014/main" id="{A33ADBB7-E6B0-435D-8F15-6973C0AA27F5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9" name="$F$2">
            <a:extLst>
              <a:ext uri="{FF2B5EF4-FFF2-40B4-BE49-F238E27FC236}">
                <a16:creationId xmlns:a16="http://schemas.microsoft.com/office/drawing/2014/main" id="{6FE3A999-29DE-47F6-AB7A-C2B63FD16E1E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0" name="$F$2">
            <a:extLst>
              <a:ext uri="{FF2B5EF4-FFF2-40B4-BE49-F238E27FC236}">
                <a16:creationId xmlns:a16="http://schemas.microsoft.com/office/drawing/2014/main" id="{FAAA7708-4E3D-4BED-9CD1-AAD16C371FDA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1" name="$F$2">
            <a:extLst>
              <a:ext uri="{FF2B5EF4-FFF2-40B4-BE49-F238E27FC236}">
                <a16:creationId xmlns:a16="http://schemas.microsoft.com/office/drawing/2014/main" id="{94A18D13-5150-4F1D-AA22-BA10241B3F7C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2" name="$F$2">
            <a:extLst>
              <a:ext uri="{FF2B5EF4-FFF2-40B4-BE49-F238E27FC236}">
                <a16:creationId xmlns:a16="http://schemas.microsoft.com/office/drawing/2014/main" id="{47024392-2A7C-40DC-A7E2-F3FEF9C37B93}"/>
              </a:ext>
            </a:extLst>
          </xdr:cNvPr>
          <xdr:cNvSpPr/>
        </xdr:nvSpPr>
        <xdr:spPr>
          <a:xfrm>
            <a:off x="1651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3" name="$F$2">
            <a:extLst>
              <a:ext uri="{FF2B5EF4-FFF2-40B4-BE49-F238E27FC236}">
                <a16:creationId xmlns:a16="http://schemas.microsoft.com/office/drawing/2014/main" id="{810B2E9E-8F3E-47E2-88A4-3D03CC440681}"/>
              </a:ext>
            </a:extLst>
          </xdr:cNvPr>
          <xdr:cNvSpPr/>
        </xdr:nvSpPr>
        <xdr:spPr>
          <a:xfrm>
            <a:off x="165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4" name="$F$2">
            <a:extLst>
              <a:ext uri="{FF2B5EF4-FFF2-40B4-BE49-F238E27FC236}">
                <a16:creationId xmlns:a16="http://schemas.microsoft.com/office/drawing/2014/main" id="{D342E5C7-DF0B-4EF4-9C03-64D698C4FE7E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5" name="$F$2">
            <a:extLst>
              <a:ext uri="{FF2B5EF4-FFF2-40B4-BE49-F238E27FC236}">
                <a16:creationId xmlns:a16="http://schemas.microsoft.com/office/drawing/2014/main" id="{FE2ABD61-BAEC-46B4-AE17-7FF933C1F18D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6" name="$F$2">
            <a:extLst>
              <a:ext uri="{FF2B5EF4-FFF2-40B4-BE49-F238E27FC236}">
                <a16:creationId xmlns:a16="http://schemas.microsoft.com/office/drawing/2014/main" id="{634C69FA-064F-40C9-BE11-9FC1854B7FDD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7" name="$F$2">
            <a:extLst>
              <a:ext uri="{FF2B5EF4-FFF2-40B4-BE49-F238E27FC236}">
                <a16:creationId xmlns:a16="http://schemas.microsoft.com/office/drawing/2014/main" id="{A6B85DF3-0B03-454B-8A2F-E7D6416FBB2F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8" name="$F$2">
            <a:extLst>
              <a:ext uri="{FF2B5EF4-FFF2-40B4-BE49-F238E27FC236}">
                <a16:creationId xmlns:a16="http://schemas.microsoft.com/office/drawing/2014/main" id="{4AA12F15-5AD4-499C-B406-65AD02B4A672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9" name="$F$2">
            <a:extLst>
              <a:ext uri="{FF2B5EF4-FFF2-40B4-BE49-F238E27FC236}">
                <a16:creationId xmlns:a16="http://schemas.microsoft.com/office/drawing/2014/main" id="{799A740B-C92D-4853-95CF-4B88ECEE30C6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0" name="$F$2">
            <a:extLst>
              <a:ext uri="{FF2B5EF4-FFF2-40B4-BE49-F238E27FC236}">
                <a16:creationId xmlns:a16="http://schemas.microsoft.com/office/drawing/2014/main" id="{7A30450A-072C-4834-B4BD-D27F85E7C15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1" name="$F$2">
            <a:extLst>
              <a:ext uri="{FF2B5EF4-FFF2-40B4-BE49-F238E27FC236}">
                <a16:creationId xmlns:a16="http://schemas.microsoft.com/office/drawing/2014/main" id="{900E4A1B-689B-49A5-859E-5CD2AB459158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2" name="$F$2">
            <a:extLst>
              <a:ext uri="{FF2B5EF4-FFF2-40B4-BE49-F238E27FC236}">
                <a16:creationId xmlns:a16="http://schemas.microsoft.com/office/drawing/2014/main" id="{FEE14D2A-D921-477B-A9D0-BAE1FC007E74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3" name="$F$2">
            <a:extLst>
              <a:ext uri="{FF2B5EF4-FFF2-40B4-BE49-F238E27FC236}">
                <a16:creationId xmlns:a16="http://schemas.microsoft.com/office/drawing/2014/main" id="{822E0351-4438-4041-A189-F5A83A9549A5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4" name="$F$2">
            <a:extLst>
              <a:ext uri="{FF2B5EF4-FFF2-40B4-BE49-F238E27FC236}">
                <a16:creationId xmlns:a16="http://schemas.microsoft.com/office/drawing/2014/main" id="{3E6361BD-DEE6-4CCB-BC13-689E7F1A227A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5" name="$F$2">
            <a:extLst>
              <a:ext uri="{FF2B5EF4-FFF2-40B4-BE49-F238E27FC236}">
                <a16:creationId xmlns:a16="http://schemas.microsoft.com/office/drawing/2014/main" id="{50EC6F1F-1C4E-4108-A5F1-C7CE63613C64}"/>
              </a:ext>
            </a:extLst>
          </xdr:cNvPr>
          <xdr:cNvSpPr/>
        </xdr:nvSpPr>
        <xdr:spPr>
          <a:xfrm>
            <a:off x="88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6" name="$F$2">
            <a:extLst>
              <a:ext uri="{FF2B5EF4-FFF2-40B4-BE49-F238E27FC236}">
                <a16:creationId xmlns:a16="http://schemas.microsoft.com/office/drawing/2014/main" id="{65FDD92A-39B1-48B1-8C9D-7F05F779CA66}"/>
              </a:ext>
            </a:extLst>
          </xdr:cNvPr>
          <xdr:cNvSpPr/>
        </xdr:nvSpPr>
        <xdr:spPr>
          <a:xfrm>
            <a:off x="76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7" name="$F$2">
            <a:extLst>
              <a:ext uri="{FF2B5EF4-FFF2-40B4-BE49-F238E27FC236}">
                <a16:creationId xmlns:a16="http://schemas.microsoft.com/office/drawing/2014/main" id="{5BE1CB72-63E8-458A-AB75-5AF5B38CEC62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8" name="$F$2">
            <a:extLst>
              <a:ext uri="{FF2B5EF4-FFF2-40B4-BE49-F238E27FC236}">
                <a16:creationId xmlns:a16="http://schemas.microsoft.com/office/drawing/2014/main" id="{AF1F7E8B-4A34-4129-9E93-0355BA1180F9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9" name="$F$2">
            <a:extLst>
              <a:ext uri="{FF2B5EF4-FFF2-40B4-BE49-F238E27FC236}">
                <a16:creationId xmlns:a16="http://schemas.microsoft.com/office/drawing/2014/main" id="{97733008-7E29-4D91-BA5C-5648161A4B66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0" name="$F$2">
            <a:extLst>
              <a:ext uri="{FF2B5EF4-FFF2-40B4-BE49-F238E27FC236}">
                <a16:creationId xmlns:a16="http://schemas.microsoft.com/office/drawing/2014/main" id="{7CA56105-5609-4D27-A6F4-8D1307B8C210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1" name="$F$2">
            <a:extLst>
              <a:ext uri="{FF2B5EF4-FFF2-40B4-BE49-F238E27FC236}">
                <a16:creationId xmlns:a16="http://schemas.microsoft.com/office/drawing/2014/main" id="{3FF12F0C-BF8D-446D-8294-12D99DF0F85B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2" name="$F$2">
            <a:extLst>
              <a:ext uri="{FF2B5EF4-FFF2-40B4-BE49-F238E27FC236}">
                <a16:creationId xmlns:a16="http://schemas.microsoft.com/office/drawing/2014/main" id="{C599855C-2DD3-4D71-A7B3-7B4C094FCF1A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3" name="$F$2">
            <a:extLst>
              <a:ext uri="{FF2B5EF4-FFF2-40B4-BE49-F238E27FC236}">
                <a16:creationId xmlns:a16="http://schemas.microsoft.com/office/drawing/2014/main" id="{C06944AC-5A61-46BA-804A-7779BC0E12DB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4" name="$F$2">
            <a:extLst>
              <a:ext uri="{FF2B5EF4-FFF2-40B4-BE49-F238E27FC236}">
                <a16:creationId xmlns:a16="http://schemas.microsoft.com/office/drawing/2014/main" id="{57FBB9BE-C07D-400D-AC5D-A3620981FE25}"/>
              </a:ext>
            </a:extLst>
          </xdr:cNvPr>
          <xdr:cNvSpPr/>
        </xdr:nvSpPr>
        <xdr:spPr>
          <a:xfrm>
            <a:off x="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5" name="$F$2">
            <a:extLst>
              <a:ext uri="{FF2B5EF4-FFF2-40B4-BE49-F238E27FC236}">
                <a16:creationId xmlns:a16="http://schemas.microsoft.com/office/drawing/2014/main" id="{2A59EAE7-D4D8-46AA-9348-388CF3B2231A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6" name="$F$2">
            <a:extLst>
              <a:ext uri="{FF2B5EF4-FFF2-40B4-BE49-F238E27FC236}">
                <a16:creationId xmlns:a16="http://schemas.microsoft.com/office/drawing/2014/main" id="{C23088E2-E135-46B2-BA62-483D49F29FA2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7" name="$F$2">
            <a:extLst>
              <a:ext uri="{FF2B5EF4-FFF2-40B4-BE49-F238E27FC236}">
                <a16:creationId xmlns:a16="http://schemas.microsoft.com/office/drawing/2014/main" id="{5297A348-AD5F-4800-9212-FE2658EE1F76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8" name="$F$2">
            <a:extLst>
              <a:ext uri="{FF2B5EF4-FFF2-40B4-BE49-F238E27FC236}">
                <a16:creationId xmlns:a16="http://schemas.microsoft.com/office/drawing/2014/main" id="{4905C252-9434-41C5-9B33-ACB3479C068A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9" name="$F$2">
            <a:extLst>
              <a:ext uri="{FF2B5EF4-FFF2-40B4-BE49-F238E27FC236}">
                <a16:creationId xmlns:a16="http://schemas.microsoft.com/office/drawing/2014/main" id="{8D4BE0AE-BEB7-401F-9487-588BEDCF152C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0" name="$F$2">
            <a:extLst>
              <a:ext uri="{FF2B5EF4-FFF2-40B4-BE49-F238E27FC236}">
                <a16:creationId xmlns:a16="http://schemas.microsoft.com/office/drawing/2014/main" id="{D5023D7F-21A3-43DE-B04D-235C03EE99FC}"/>
              </a:ext>
            </a:extLst>
          </xdr:cNvPr>
          <xdr:cNvSpPr/>
        </xdr:nvSpPr>
        <xdr:spPr>
          <a:xfrm>
            <a:off x="127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1" name="$F$2">
            <a:extLst>
              <a:ext uri="{FF2B5EF4-FFF2-40B4-BE49-F238E27FC236}">
                <a16:creationId xmlns:a16="http://schemas.microsoft.com/office/drawing/2014/main" id="{2E8DED5B-9F19-4D5A-A824-6FC716850AB8}"/>
              </a:ext>
            </a:extLst>
          </xdr:cNvPr>
          <xdr:cNvSpPr/>
        </xdr:nvSpPr>
        <xdr:spPr>
          <a:xfrm>
            <a:off x="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2" name="$F$2">
            <a:extLst>
              <a:ext uri="{FF2B5EF4-FFF2-40B4-BE49-F238E27FC236}">
                <a16:creationId xmlns:a16="http://schemas.microsoft.com/office/drawing/2014/main" id="{950F7A78-83A0-4F44-A733-BE210F6A1BAC}"/>
              </a:ext>
            </a:extLst>
          </xdr:cNvPr>
          <xdr:cNvSpPr/>
        </xdr:nvSpPr>
        <xdr:spPr>
          <a:xfrm>
            <a:off x="12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3" name="$F$2">
            <a:extLst>
              <a:ext uri="{FF2B5EF4-FFF2-40B4-BE49-F238E27FC236}">
                <a16:creationId xmlns:a16="http://schemas.microsoft.com/office/drawing/2014/main" id="{99260533-B9D2-48F7-8D29-8A84FFA1165D}"/>
              </a:ext>
            </a:extLst>
          </xdr:cNvPr>
          <xdr:cNvSpPr/>
        </xdr:nvSpPr>
        <xdr:spPr>
          <a:xfrm>
            <a:off x="127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4" name="$F$2">
            <a:extLst>
              <a:ext uri="{FF2B5EF4-FFF2-40B4-BE49-F238E27FC236}">
                <a16:creationId xmlns:a16="http://schemas.microsoft.com/office/drawing/2014/main" id="{D82EC677-B409-4EC2-A2D9-B496EE5C6B59}"/>
              </a:ext>
            </a:extLst>
          </xdr:cNvPr>
          <xdr:cNvSpPr/>
        </xdr:nvSpPr>
        <xdr:spPr>
          <a:xfrm>
            <a:off x="127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5" name="$F$2">
            <a:extLst>
              <a:ext uri="{FF2B5EF4-FFF2-40B4-BE49-F238E27FC236}">
                <a16:creationId xmlns:a16="http://schemas.microsoft.com/office/drawing/2014/main" id="{3D71F681-ECE9-4AE7-8AF3-AFA287F28681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6" name="$F$2">
            <a:extLst>
              <a:ext uri="{FF2B5EF4-FFF2-40B4-BE49-F238E27FC236}">
                <a16:creationId xmlns:a16="http://schemas.microsoft.com/office/drawing/2014/main" id="{F3118EA2-40B7-4CCC-B4B4-EA1094563BEB}"/>
              </a:ext>
            </a:extLst>
          </xdr:cNvPr>
          <xdr:cNvSpPr/>
        </xdr:nvSpPr>
        <xdr:spPr>
          <a:xfrm>
            <a:off x="12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7" name="$F$2">
            <a:extLst>
              <a:ext uri="{FF2B5EF4-FFF2-40B4-BE49-F238E27FC236}">
                <a16:creationId xmlns:a16="http://schemas.microsoft.com/office/drawing/2014/main" id="{65303063-274B-4C5D-BEDC-BC2BF4AD546C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8" name="$F$2">
            <a:extLst>
              <a:ext uri="{FF2B5EF4-FFF2-40B4-BE49-F238E27FC236}">
                <a16:creationId xmlns:a16="http://schemas.microsoft.com/office/drawing/2014/main" id="{2801E87C-5107-4C1F-8A67-407351562491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9" name="$F$2">
            <a:extLst>
              <a:ext uri="{FF2B5EF4-FFF2-40B4-BE49-F238E27FC236}">
                <a16:creationId xmlns:a16="http://schemas.microsoft.com/office/drawing/2014/main" id="{B26DA7C7-A2E6-4A87-A4D4-4F0DAF22493D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30" name="$F$2">
            <a:extLst>
              <a:ext uri="{FF2B5EF4-FFF2-40B4-BE49-F238E27FC236}">
                <a16:creationId xmlns:a16="http://schemas.microsoft.com/office/drawing/2014/main" id="{7F47B891-7664-401D-85EC-52A61C096202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31" name="$F$2">
            <a:extLst>
              <a:ext uri="{FF2B5EF4-FFF2-40B4-BE49-F238E27FC236}">
                <a16:creationId xmlns:a16="http://schemas.microsoft.com/office/drawing/2014/main" id="{7399651E-8407-43CE-A8C4-36B9FD4EA6AD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32" name="$F$2">
            <a:extLst>
              <a:ext uri="{FF2B5EF4-FFF2-40B4-BE49-F238E27FC236}">
                <a16:creationId xmlns:a16="http://schemas.microsoft.com/office/drawing/2014/main" id="{6C6538C1-AB4B-4C9F-AEB8-16BF6C1E5DB4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33" name="$F$2">
            <a:extLst>
              <a:ext uri="{FF2B5EF4-FFF2-40B4-BE49-F238E27FC236}">
                <a16:creationId xmlns:a16="http://schemas.microsoft.com/office/drawing/2014/main" id="{8972E38B-4913-43A5-96E5-C4534BC0BEB2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34" name="$F$2">
            <a:extLst>
              <a:ext uri="{FF2B5EF4-FFF2-40B4-BE49-F238E27FC236}">
                <a16:creationId xmlns:a16="http://schemas.microsoft.com/office/drawing/2014/main" id="{B1357CFA-EDC5-4F11-B86F-58422ACA0FE5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35" name="$F$2">
            <a:extLst>
              <a:ext uri="{FF2B5EF4-FFF2-40B4-BE49-F238E27FC236}">
                <a16:creationId xmlns:a16="http://schemas.microsoft.com/office/drawing/2014/main" id="{525DA511-2189-4E1E-AA68-7B497E2B3986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36" name="$F$2">
            <a:extLst>
              <a:ext uri="{FF2B5EF4-FFF2-40B4-BE49-F238E27FC236}">
                <a16:creationId xmlns:a16="http://schemas.microsoft.com/office/drawing/2014/main" id="{459D4947-9465-4A71-A3FB-BB2F0E565147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37" name="$F$2">
            <a:extLst>
              <a:ext uri="{FF2B5EF4-FFF2-40B4-BE49-F238E27FC236}">
                <a16:creationId xmlns:a16="http://schemas.microsoft.com/office/drawing/2014/main" id="{91AA907F-F237-4488-9B99-CB3091340F16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3</xdr:col>
      <xdr:colOff>184150</xdr:colOff>
      <xdr:row>0</xdr:row>
      <xdr:rowOff>115570</xdr:rowOff>
    </xdr:from>
    <xdr:to>
      <xdr:col>3</xdr:col>
      <xdr:colOff>1377950</xdr:colOff>
      <xdr:row>0</xdr:row>
      <xdr:rowOff>1309370</xdr:rowOff>
    </xdr:to>
    <xdr:grpSp>
      <xdr:nvGrpSpPr>
        <xdr:cNvPr id="42322" name="$D$1" descr="DataMatrix barcode, 12x12 cells" title="123456789">
          <a:extLst>
            <a:ext uri="{FF2B5EF4-FFF2-40B4-BE49-F238E27FC236}">
              <a16:creationId xmlns:a16="http://schemas.microsoft.com/office/drawing/2014/main" id="{96A2BC5E-C269-4B4D-BC4B-B12469EE9A91}"/>
            </a:ext>
          </a:extLst>
        </xdr:cNvPr>
        <xdr:cNvGrpSpPr>
          <a:grpSpLocks noChangeAspect="1"/>
        </xdr:cNvGrpSpPr>
      </xdr:nvGrpSpPr>
      <xdr:grpSpPr>
        <a:xfrm>
          <a:off x="5053330" y="115570"/>
          <a:ext cx="1193800" cy="1193800"/>
          <a:chOff x="0" y="0"/>
          <a:chExt cx="152400" cy="152400"/>
        </a:xfrm>
        <a:solidFill>
          <a:srgbClr val="000000"/>
        </a:solidFill>
      </xdr:grpSpPr>
      <xdr:sp macro="" textlink="">
        <xdr:nvSpPr>
          <xdr:cNvPr id="42239" name="$D$1">
            <a:extLst>
              <a:ext uri="{FF2B5EF4-FFF2-40B4-BE49-F238E27FC236}">
                <a16:creationId xmlns:a16="http://schemas.microsoft.com/office/drawing/2014/main" id="{408A53F2-4947-4868-948D-39114356F16E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0" name="$D$1">
            <a:extLst>
              <a:ext uri="{FF2B5EF4-FFF2-40B4-BE49-F238E27FC236}">
                <a16:creationId xmlns:a16="http://schemas.microsoft.com/office/drawing/2014/main" id="{9B066262-29A4-40AC-B6D2-005FBE1171F3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1" name="$D$1">
            <a:extLst>
              <a:ext uri="{FF2B5EF4-FFF2-40B4-BE49-F238E27FC236}">
                <a16:creationId xmlns:a16="http://schemas.microsoft.com/office/drawing/2014/main" id="{F7B408ED-CF10-4F81-8F41-43E80A8652F5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2" name="$D$1">
            <a:extLst>
              <a:ext uri="{FF2B5EF4-FFF2-40B4-BE49-F238E27FC236}">
                <a16:creationId xmlns:a16="http://schemas.microsoft.com/office/drawing/2014/main" id="{82B8761F-5414-441D-A2C7-0D3DFB4A72A3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3" name="$D$1">
            <a:extLst>
              <a:ext uri="{FF2B5EF4-FFF2-40B4-BE49-F238E27FC236}">
                <a16:creationId xmlns:a16="http://schemas.microsoft.com/office/drawing/2014/main" id="{902679B5-0649-401C-91CC-9C8470717DFA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4" name="$D$1">
            <a:extLst>
              <a:ext uri="{FF2B5EF4-FFF2-40B4-BE49-F238E27FC236}">
                <a16:creationId xmlns:a16="http://schemas.microsoft.com/office/drawing/2014/main" id="{BFADF2AA-C030-4AAB-9ADD-9A8B0FE0841D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5" name="$D$1">
            <a:extLst>
              <a:ext uri="{FF2B5EF4-FFF2-40B4-BE49-F238E27FC236}">
                <a16:creationId xmlns:a16="http://schemas.microsoft.com/office/drawing/2014/main" id="{30BAC9FA-3734-48B7-98E0-D4E955876685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6" name="$D$1">
            <a:extLst>
              <a:ext uri="{FF2B5EF4-FFF2-40B4-BE49-F238E27FC236}">
                <a16:creationId xmlns:a16="http://schemas.microsoft.com/office/drawing/2014/main" id="{4EE29EEC-CE9E-4300-8BED-A55EC230456A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7" name="$D$1">
            <a:extLst>
              <a:ext uri="{FF2B5EF4-FFF2-40B4-BE49-F238E27FC236}">
                <a16:creationId xmlns:a16="http://schemas.microsoft.com/office/drawing/2014/main" id="{FFDF0194-1E89-4CCD-9A25-5E7F1E778DCC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8" name="$D$1">
            <a:extLst>
              <a:ext uri="{FF2B5EF4-FFF2-40B4-BE49-F238E27FC236}">
                <a16:creationId xmlns:a16="http://schemas.microsoft.com/office/drawing/2014/main" id="{BD7C846F-E701-4536-9500-0A7236C9863C}"/>
              </a:ext>
            </a:extLst>
          </xdr:cNvPr>
          <xdr:cNvSpPr/>
        </xdr:nvSpPr>
        <xdr:spPr>
          <a:xfrm>
            <a:off x="76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9" name="$D$1">
            <a:extLst>
              <a:ext uri="{FF2B5EF4-FFF2-40B4-BE49-F238E27FC236}">
                <a16:creationId xmlns:a16="http://schemas.microsoft.com/office/drawing/2014/main" id="{29E24C24-1D89-48BB-8EEE-0DFDF6179C01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0" name="$D$1">
            <a:extLst>
              <a:ext uri="{FF2B5EF4-FFF2-40B4-BE49-F238E27FC236}">
                <a16:creationId xmlns:a16="http://schemas.microsoft.com/office/drawing/2014/main" id="{EBBFE14C-B52D-4875-95A1-02567F7B623D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1" name="$D$1">
            <a:extLst>
              <a:ext uri="{FF2B5EF4-FFF2-40B4-BE49-F238E27FC236}">
                <a16:creationId xmlns:a16="http://schemas.microsoft.com/office/drawing/2014/main" id="{43D26EEE-2C77-46DF-B971-67DE1B87B327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2" name="$D$1">
            <a:extLst>
              <a:ext uri="{FF2B5EF4-FFF2-40B4-BE49-F238E27FC236}">
                <a16:creationId xmlns:a16="http://schemas.microsoft.com/office/drawing/2014/main" id="{D9364F75-148C-45B5-9679-8988130050EB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3" name="$D$1">
            <a:extLst>
              <a:ext uri="{FF2B5EF4-FFF2-40B4-BE49-F238E27FC236}">
                <a16:creationId xmlns:a16="http://schemas.microsoft.com/office/drawing/2014/main" id="{8CCDB523-B02F-4A72-BDEB-7798C01A525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4" name="$D$1">
            <a:extLst>
              <a:ext uri="{FF2B5EF4-FFF2-40B4-BE49-F238E27FC236}">
                <a16:creationId xmlns:a16="http://schemas.microsoft.com/office/drawing/2014/main" id="{E44C1E54-CC7C-48FC-BB07-D641FD8B306E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5" name="$D$1">
            <a:extLst>
              <a:ext uri="{FF2B5EF4-FFF2-40B4-BE49-F238E27FC236}">
                <a16:creationId xmlns:a16="http://schemas.microsoft.com/office/drawing/2014/main" id="{919DB4C1-1CBC-4819-B5D8-41B8DBE4DEF4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6" name="$D$1">
            <a:extLst>
              <a:ext uri="{FF2B5EF4-FFF2-40B4-BE49-F238E27FC236}">
                <a16:creationId xmlns:a16="http://schemas.microsoft.com/office/drawing/2014/main" id="{B0EDD459-69E3-439B-AF96-BB1EB11673B0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7" name="$D$1">
            <a:extLst>
              <a:ext uri="{FF2B5EF4-FFF2-40B4-BE49-F238E27FC236}">
                <a16:creationId xmlns:a16="http://schemas.microsoft.com/office/drawing/2014/main" id="{D2219C7B-909F-45D8-819D-AA60932B1C9E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8" name="$D$1">
            <a:extLst>
              <a:ext uri="{FF2B5EF4-FFF2-40B4-BE49-F238E27FC236}">
                <a16:creationId xmlns:a16="http://schemas.microsoft.com/office/drawing/2014/main" id="{07B43114-98D9-4966-9D05-8356ED7EBC5D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9" name="$D$1">
            <a:extLst>
              <a:ext uri="{FF2B5EF4-FFF2-40B4-BE49-F238E27FC236}">
                <a16:creationId xmlns:a16="http://schemas.microsoft.com/office/drawing/2014/main" id="{6466B9C9-10FA-462B-A07A-98869E3A5654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0" name="$D$1">
            <a:extLst>
              <a:ext uri="{FF2B5EF4-FFF2-40B4-BE49-F238E27FC236}">
                <a16:creationId xmlns:a16="http://schemas.microsoft.com/office/drawing/2014/main" id="{A04A4DDB-7C5E-4026-A062-5E12AFA36776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1" name="$D$1">
            <a:extLst>
              <a:ext uri="{FF2B5EF4-FFF2-40B4-BE49-F238E27FC236}">
                <a16:creationId xmlns:a16="http://schemas.microsoft.com/office/drawing/2014/main" id="{26606C53-4AA5-40F5-B346-D95F1813EB4E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2" name="$D$1">
            <a:extLst>
              <a:ext uri="{FF2B5EF4-FFF2-40B4-BE49-F238E27FC236}">
                <a16:creationId xmlns:a16="http://schemas.microsoft.com/office/drawing/2014/main" id="{31E9C2DA-73E9-4F58-8F60-E1BE8E592E01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3" name="$D$1">
            <a:extLst>
              <a:ext uri="{FF2B5EF4-FFF2-40B4-BE49-F238E27FC236}">
                <a16:creationId xmlns:a16="http://schemas.microsoft.com/office/drawing/2014/main" id="{B45D72A1-61BF-459B-9503-AE743E163229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4" name="$D$1">
            <a:extLst>
              <a:ext uri="{FF2B5EF4-FFF2-40B4-BE49-F238E27FC236}">
                <a16:creationId xmlns:a16="http://schemas.microsoft.com/office/drawing/2014/main" id="{806431B8-8EF8-48F6-94BF-1045D574F537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5" name="$D$1">
            <a:extLst>
              <a:ext uri="{FF2B5EF4-FFF2-40B4-BE49-F238E27FC236}">
                <a16:creationId xmlns:a16="http://schemas.microsoft.com/office/drawing/2014/main" id="{18E88649-682E-423D-9536-442ADF625867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6" name="$D$1">
            <a:extLst>
              <a:ext uri="{FF2B5EF4-FFF2-40B4-BE49-F238E27FC236}">
                <a16:creationId xmlns:a16="http://schemas.microsoft.com/office/drawing/2014/main" id="{95569F04-FB2B-441F-9366-3E087D2A4B88}"/>
              </a:ext>
            </a:extLst>
          </xdr:cNvPr>
          <xdr:cNvSpPr/>
        </xdr:nvSpPr>
        <xdr:spPr>
          <a:xfrm>
            <a:off x="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7" name="$D$1">
            <a:extLst>
              <a:ext uri="{FF2B5EF4-FFF2-40B4-BE49-F238E27FC236}">
                <a16:creationId xmlns:a16="http://schemas.microsoft.com/office/drawing/2014/main" id="{F0797B38-6F22-4FBC-B72C-2CAA3A5CBEE4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8" name="$D$1">
            <a:extLst>
              <a:ext uri="{FF2B5EF4-FFF2-40B4-BE49-F238E27FC236}">
                <a16:creationId xmlns:a16="http://schemas.microsoft.com/office/drawing/2014/main" id="{C031D2EC-6883-425C-823B-77A507344593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9" name="$D$1">
            <a:extLst>
              <a:ext uri="{FF2B5EF4-FFF2-40B4-BE49-F238E27FC236}">
                <a16:creationId xmlns:a16="http://schemas.microsoft.com/office/drawing/2014/main" id="{3DA08942-8164-41FC-80E2-7F693E37640C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0" name="$D$1">
            <a:extLst>
              <a:ext uri="{FF2B5EF4-FFF2-40B4-BE49-F238E27FC236}">
                <a16:creationId xmlns:a16="http://schemas.microsoft.com/office/drawing/2014/main" id="{6B9BBC27-A787-458B-9B73-9EF2CC7F27DB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1" name="$D$1">
            <a:extLst>
              <a:ext uri="{FF2B5EF4-FFF2-40B4-BE49-F238E27FC236}">
                <a16:creationId xmlns:a16="http://schemas.microsoft.com/office/drawing/2014/main" id="{4D58EF9A-E086-42CB-98C5-D874CA04334F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2" name="$D$1">
            <a:extLst>
              <a:ext uri="{FF2B5EF4-FFF2-40B4-BE49-F238E27FC236}">
                <a16:creationId xmlns:a16="http://schemas.microsoft.com/office/drawing/2014/main" id="{DF0C6605-1C54-45FF-9721-6DE5FBEF2CC2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3" name="$D$1">
            <a:extLst>
              <a:ext uri="{FF2B5EF4-FFF2-40B4-BE49-F238E27FC236}">
                <a16:creationId xmlns:a16="http://schemas.microsoft.com/office/drawing/2014/main" id="{E4CD1ED4-882E-4D00-88C9-CBA4AD48D2A4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4" name="$D$1">
            <a:extLst>
              <a:ext uri="{FF2B5EF4-FFF2-40B4-BE49-F238E27FC236}">
                <a16:creationId xmlns:a16="http://schemas.microsoft.com/office/drawing/2014/main" id="{536D1CDD-A333-441C-8755-8F64221CDEFC}"/>
              </a:ext>
            </a:extLst>
          </xdr:cNvPr>
          <xdr:cNvSpPr/>
        </xdr:nvSpPr>
        <xdr:spPr>
          <a:xfrm>
            <a:off x="127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5" name="$D$1">
            <a:extLst>
              <a:ext uri="{FF2B5EF4-FFF2-40B4-BE49-F238E27FC236}">
                <a16:creationId xmlns:a16="http://schemas.microsoft.com/office/drawing/2014/main" id="{262AEED4-86D4-4BF3-8178-45689EB70EBF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6" name="$D$1">
            <a:extLst>
              <a:ext uri="{FF2B5EF4-FFF2-40B4-BE49-F238E27FC236}">
                <a16:creationId xmlns:a16="http://schemas.microsoft.com/office/drawing/2014/main" id="{8EED6D19-00B4-40EA-B762-54507FE60480}"/>
              </a:ext>
            </a:extLst>
          </xdr:cNvPr>
          <xdr:cNvSpPr/>
        </xdr:nvSpPr>
        <xdr:spPr>
          <a:xfrm>
            <a:off x="127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7" name="$D$1">
            <a:extLst>
              <a:ext uri="{FF2B5EF4-FFF2-40B4-BE49-F238E27FC236}">
                <a16:creationId xmlns:a16="http://schemas.microsoft.com/office/drawing/2014/main" id="{CBD8C3E4-E11F-42D6-B5F8-FB5A095F20DE}"/>
              </a:ext>
            </a:extLst>
          </xdr:cNvPr>
          <xdr:cNvSpPr/>
        </xdr:nvSpPr>
        <xdr:spPr>
          <a:xfrm>
            <a:off x="127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8" name="$D$1">
            <a:extLst>
              <a:ext uri="{FF2B5EF4-FFF2-40B4-BE49-F238E27FC236}">
                <a16:creationId xmlns:a16="http://schemas.microsoft.com/office/drawing/2014/main" id="{1988E168-101D-4CCD-8648-B2358BC6CED9}"/>
              </a:ext>
            </a:extLst>
          </xdr:cNvPr>
          <xdr:cNvSpPr/>
        </xdr:nvSpPr>
        <xdr:spPr>
          <a:xfrm>
            <a:off x="12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9" name="$D$1">
            <a:extLst>
              <a:ext uri="{FF2B5EF4-FFF2-40B4-BE49-F238E27FC236}">
                <a16:creationId xmlns:a16="http://schemas.microsoft.com/office/drawing/2014/main" id="{2046D73B-F3D0-487B-BFCB-1906BDE879CA}"/>
              </a:ext>
            </a:extLst>
          </xdr:cNvPr>
          <xdr:cNvSpPr/>
        </xdr:nvSpPr>
        <xdr:spPr>
          <a:xfrm>
            <a:off x="50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0" name="$D$1">
            <a:extLst>
              <a:ext uri="{FF2B5EF4-FFF2-40B4-BE49-F238E27FC236}">
                <a16:creationId xmlns:a16="http://schemas.microsoft.com/office/drawing/2014/main" id="{7787815E-0A3E-4095-BC8A-5E24EAF39052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1" name="$D$1">
            <a:extLst>
              <a:ext uri="{FF2B5EF4-FFF2-40B4-BE49-F238E27FC236}">
                <a16:creationId xmlns:a16="http://schemas.microsoft.com/office/drawing/2014/main" id="{0600F96A-EC18-44F9-BEDD-D23687D3B19B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2" name="$D$1">
            <a:extLst>
              <a:ext uri="{FF2B5EF4-FFF2-40B4-BE49-F238E27FC236}">
                <a16:creationId xmlns:a16="http://schemas.microsoft.com/office/drawing/2014/main" id="{940B4BFF-9B22-4710-B099-98AF7C946981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3" name="$D$1">
            <a:extLst>
              <a:ext uri="{FF2B5EF4-FFF2-40B4-BE49-F238E27FC236}">
                <a16:creationId xmlns:a16="http://schemas.microsoft.com/office/drawing/2014/main" id="{32384E78-3A0B-4586-A575-4DB55CE72A47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4" name="$D$1">
            <a:extLst>
              <a:ext uri="{FF2B5EF4-FFF2-40B4-BE49-F238E27FC236}">
                <a16:creationId xmlns:a16="http://schemas.microsoft.com/office/drawing/2014/main" id="{4E421DEF-F51D-4481-8C94-75C64882140E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5" name="$D$1">
            <a:extLst>
              <a:ext uri="{FF2B5EF4-FFF2-40B4-BE49-F238E27FC236}">
                <a16:creationId xmlns:a16="http://schemas.microsoft.com/office/drawing/2014/main" id="{FDDF2DB1-8D50-4D9C-B92A-81999491142C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6" name="$D$1">
            <a:extLst>
              <a:ext uri="{FF2B5EF4-FFF2-40B4-BE49-F238E27FC236}">
                <a16:creationId xmlns:a16="http://schemas.microsoft.com/office/drawing/2014/main" id="{A45A651F-D92B-4BDB-926C-F490A050948C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7" name="$D$1">
            <a:extLst>
              <a:ext uri="{FF2B5EF4-FFF2-40B4-BE49-F238E27FC236}">
                <a16:creationId xmlns:a16="http://schemas.microsoft.com/office/drawing/2014/main" id="{2C9032F5-4A50-492A-9CE3-4EAC78027C97}"/>
              </a:ext>
            </a:extLst>
          </xdr:cNvPr>
          <xdr:cNvSpPr/>
        </xdr:nvSpPr>
        <xdr:spPr>
          <a:xfrm>
            <a:off x="63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8" name="$D$1">
            <a:extLst>
              <a:ext uri="{FF2B5EF4-FFF2-40B4-BE49-F238E27FC236}">
                <a16:creationId xmlns:a16="http://schemas.microsoft.com/office/drawing/2014/main" id="{F3167E67-D3B8-42A8-9A55-7FD49C3068AB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9" name="$D$1">
            <a:extLst>
              <a:ext uri="{FF2B5EF4-FFF2-40B4-BE49-F238E27FC236}">
                <a16:creationId xmlns:a16="http://schemas.microsoft.com/office/drawing/2014/main" id="{A395B694-C838-4621-88C2-681BDA3DF0E0}"/>
              </a:ext>
            </a:extLst>
          </xdr:cNvPr>
          <xdr:cNvSpPr/>
        </xdr:nvSpPr>
        <xdr:spPr>
          <a:xfrm>
            <a:off x="63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0" name="$D$1">
            <a:extLst>
              <a:ext uri="{FF2B5EF4-FFF2-40B4-BE49-F238E27FC236}">
                <a16:creationId xmlns:a16="http://schemas.microsoft.com/office/drawing/2014/main" id="{BFE80FF3-907E-40E1-9FF3-1BE8E5984C01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1" name="$D$1">
            <a:extLst>
              <a:ext uri="{FF2B5EF4-FFF2-40B4-BE49-F238E27FC236}">
                <a16:creationId xmlns:a16="http://schemas.microsoft.com/office/drawing/2014/main" id="{163BA276-45CF-4202-BD95-0F2245460EE4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2" name="$D$1">
            <a:extLst>
              <a:ext uri="{FF2B5EF4-FFF2-40B4-BE49-F238E27FC236}">
                <a16:creationId xmlns:a16="http://schemas.microsoft.com/office/drawing/2014/main" id="{A085014A-462C-4C46-8D3A-FB0D85008346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3" name="$D$1">
            <a:extLst>
              <a:ext uri="{FF2B5EF4-FFF2-40B4-BE49-F238E27FC236}">
                <a16:creationId xmlns:a16="http://schemas.microsoft.com/office/drawing/2014/main" id="{352BC22B-B7F5-4B82-930B-56A6EDA9AEC1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4" name="$D$1">
            <a:extLst>
              <a:ext uri="{FF2B5EF4-FFF2-40B4-BE49-F238E27FC236}">
                <a16:creationId xmlns:a16="http://schemas.microsoft.com/office/drawing/2014/main" id="{2EDB3FB5-FDF3-4EF9-AF5A-1C2E2B4DACE5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5" name="$D$1">
            <a:extLst>
              <a:ext uri="{FF2B5EF4-FFF2-40B4-BE49-F238E27FC236}">
                <a16:creationId xmlns:a16="http://schemas.microsoft.com/office/drawing/2014/main" id="{6F1A1F5E-79DC-4046-841C-0026A323CABC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6" name="$D$1">
            <a:extLst>
              <a:ext uri="{FF2B5EF4-FFF2-40B4-BE49-F238E27FC236}">
                <a16:creationId xmlns:a16="http://schemas.microsoft.com/office/drawing/2014/main" id="{944D4F64-B5CB-43CF-8FDA-E8120A4D98F0}"/>
              </a:ext>
            </a:extLst>
          </xdr:cNvPr>
          <xdr:cNvSpPr/>
        </xdr:nvSpPr>
        <xdr:spPr>
          <a:xfrm>
            <a:off x="127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7" name="$D$1">
            <a:extLst>
              <a:ext uri="{FF2B5EF4-FFF2-40B4-BE49-F238E27FC236}">
                <a16:creationId xmlns:a16="http://schemas.microsoft.com/office/drawing/2014/main" id="{DEF7F3FC-3C1C-4700-8F55-D9A79AA547B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8" name="$D$1">
            <a:extLst>
              <a:ext uri="{FF2B5EF4-FFF2-40B4-BE49-F238E27FC236}">
                <a16:creationId xmlns:a16="http://schemas.microsoft.com/office/drawing/2014/main" id="{A158387A-A371-43C2-B586-435E18A413A2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9" name="$D$1">
            <a:extLst>
              <a:ext uri="{FF2B5EF4-FFF2-40B4-BE49-F238E27FC236}">
                <a16:creationId xmlns:a16="http://schemas.microsoft.com/office/drawing/2014/main" id="{612E06B6-5D71-4940-BB09-175AE2205D16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0" name="$D$1">
            <a:extLst>
              <a:ext uri="{FF2B5EF4-FFF2-40B4-BE49-F238E27FC236}">
                <a16:creationId xmlns:a16="http://schemas.microsoft.com/office/drawing/2014/main" id="{6945BACF-186F-4D9B-93ED-C7D3D79968A4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1" name="$D$1">
            <a:extLst>
              <a:ext uri="{FF2B5EF4-FFF2-40B4-BE49-F238E27FC236}">
                <a16:creationId xmlns:a16="http://schemas.microsoft.com/office/drawing/2014/main" id="{DD5D6E9B-72D6-44D3-AA57-F4124E45F697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2" name="$D$1">
            <a:extLst>
              <a:ext uri="{FF2B5EF4-FFF2-40B4-BE49-F238E27FC236}">
                <a16:creationId xmlns:a16="http://schemas.microsoft.com/office/drawing/2014/main" id="{DCE753BB-2512-4AA3-A658-0B860FE70075}"/>
              </a:ext>
            </a:extLst>
          </xdr:cNvPr>
          <xdr:cNvSpPr/>
        </xdr:nvSpPr>
        <xdr:spPr>
          <a:xfrm>
            <a:off x="508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3" name="$D$1">
            <a:extLst>
              <a:ext uri="{FF2B5EF4-FFF2-40B4-BE49-F238E27FC236}">
                <a16:creationId xmlns:a16="http://schemas.microsoft.com/office/drawing/2014/main" id="{7AE1DD4B-92A2-41AE-A1D9-EE19A3E008DE}"/>
              </a:ext>
            </a:extLst>
          </xdr:cNvPr>
          <xdr:cNvSpPr/>
        </xdr:nvSpPr>
        <xdr:spPr>
          <a:xfrm>
            <a:off x="38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4" name="$D$1">
            <a:extLst>
              <a:ext uri="{FF2B5EF4-FFF2-40B4-BE49-F238E27FC236}">
                <a16:creationId xmlns:a16="http://schemas.microsoft.com/office/drawing/2014/main" id="{6F83F81A-D230-472E-AB41-B8E39E6C0907}"/>
              </a:ext>
            </a:extLst>
          </xdr:cNvPr>
          <xdr:cNvSpPr/>
        </xdr:nvSpPr>
        <xdr:spPr>
          <a:xfrm>
            <a:off x="889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5" name="$D$1">
            <a:extLst>
              <a:ext uri="{FF2B5EF4-FFF2-40B4-BE49-F238E27FC236}">
                <a16:creationId xmlns:a16="http://schemas.microsoft.com/office/drawing/2014/main" id="{2129A394-63BA-48F2-A670-1E496D94EE5E}"/>
              </a:ext>
            </a:extLst>
          </xdr:cNvPr>
          <xdr:cNvSpPr/>
        </xdr:nvSpPr>
        <xdr:spPr>
          <a:xfrm>
            <a:off x="63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6" name="$D$1">
            <a:extLst>
              <a:ext uri="{FF2B5EF4-FFF2-40B4-BE49-F238E27FC236}">
                <a16:creationId xmlns:a16="http://schemas.microsoft.com/office/drawing/2014/main" id="{16756510-685B-4874-9839-BDC529CB2D05}"/>
              </a:ext>
            </a:extLst>
          </xdr:cNvPr>
          <xdr:cNvSpPr/>
        </xdr:nvSpPr>
        <xdr:spPr>
          <a:xfrm>
            <a:off x="63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7" name="$D$1">
            <a:extLst>
              <a:ext uri="{FF2B5EF4-FFF2-40B4-BE49-F238E27FC236}">
                <a16:creationId xmlns:a16="http://schemas.microsoft.com/office/drawing/2014/main" id="{F4DB2B63-5B9C-43AC-8C4A-BF3DE463C56B}"/>
              </a:ext>
            </a:extLst>
          </xdr:cNvPr>
          <xdr:cNvSpPr/>
        </xdr:nvSpPr>
        <xdr:spPr>
          <a:xfrm>
            <a:off x="889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8" name="$D$1">
            <a:extLst>
              <a:ext uri="{FF2B5EF4-FFF2-40B4-BE49-F238E27FC236}">
                <a16:creationId xmlns:a16="http://schemas.microsoft.com/office/drawing/2014/main" id="{938DA270-8F85-46A6-8202-E56E4561E1EC}"/>
              </a:ext>
            </a:extLst>
          </xdr:cNvPr>
          <xdr:cNvSpPr/>
        </xdr:nvSpPr>
        <xdr:spPr>
          <a:xfrm>
            <a:off x="889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9" name="$D$1">
            <a:extLst>
              <a:ext uri="{FF2B5EF4-FFF2-40B4-BE49-F238E27FC236}">
                <a16:creationId xmlns:a16="http://schemas.microsoft.com/office/drawing/2014/main" id="{3CA14E58-2C03-47CF-B2DC-88F86C249A09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0" name="$D$1">
            <a:extLst>
              <a:ext uri="{FF2B5EF4-FFF2-40B4-BE49-F238E27FC236}">
                <a16:creationId xmlns:a16="http://schemas.microsoft.com/office/drawing/2014/main" id="{6E7D5093-5A47-4EB5-AA86-F7A473BF3CE8}"/>
              </a:ext>
            </a:extLst>
          </xdr:cNvPr>
          <xdr:cNvSpPr/>
        </xdr:nvSpPr>
        <xdr:spPr>
          <a:xfrm>
            <a:off x="889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1" name="$D$1">
            <a:extLst>
              <a:ext uri="{FF2B5EF4-FFF2-40B4-BE49-F238E27FC236}">
                <a16:creationId xmlns:a16="http://schemas.microsoft.com/office/drawing/2014/main" id="{EEAE06F4-8B8E-4FEB-B803-B38CEB8F4782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2" name="$D$1">
            <a:extLst>
              <a:ext uri="{FF2B5EF4-FFF2-40B4-BE49-F238E27FC236}">
                <a16:creationId xmlns:a16="http://schemas.microsoft.com/office/drawing/2014/main" id="{E0D8235F-6122-40D4-8376-E26427BC0429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3" name="$D$1">
            <a:extLst>
              <a:ext uri="{FF2B5EF4-FFF2-40B4-BE49-F238E27FC236}">
                <a16:creationId xmlns:a16="http://schemas.microsoft.com/office/drawing/2014/main" id="{5CD4BB52-6D2F-4B92-95BD-0B709B272B25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4" name="$D$1">
            <a:extLst>
              <a:ext uri="{FF2B5EF4-FFF2-40B4-BE49-F238E27FC236}">
                <a16:creationId xmlns:a16="http://schemas.microsoft.com/office/drawing/2014/main" id="{DFB7C4A2-EF61-4331-B68E-42535CC97DEF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5" name="$D$1">
            <a:extLst>
              <a:ext uri="{FF2B5EF4-FFF2-40B4-BE49-F238E27FC236}">
                <a16:creationId xmlns:a16="http://schemas.microsoft.com/office/drawing/2014/main" id="{EBC67EE0-9674-454C-8E3A-718322ADDB65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6" name="$D$1">
            <a:extLst>
              <a:ext uri="{FF2B5EF4-FFF2-40B4-BE49-F238E27FC236}">
                <a16:creationId xmlns:a16="http://schemas.microsoft.com/office/drawing/2014/main" id="{76696228-8007-4489-86D4-9BA17DC243F0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7" name="$D$1">
            <a:extLst>
              <a:ext uri="{FF2B5EF4-FFF2-40B4-BE49-F238E27FC236}">
                <a16:creationId xmlns:a16="http://schemas.microsoft.com/office/drawing/2014/main" id="{5FCC938E-0A80-4447-8D79-B85E5682FCB6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8" name="$D$1">
            <a:extLst>
              <a:ext uri="{FF2B5EF4-FFF2-40B4-BE49-F238E27FC236}">
                <a16:creationId xmlns:a16="http://schemas.microsoft.com/office/drawing/2014/main" id="{207ED62D-A9FA-43EF-BD90-C68F1B8B67A9}"/>
              </a:ext>
            </a:extLst>
          </xdr:cNvPr>
          <xdr:cNvSpPr/>
        </xdr:nvSpPr>
        <xdr:spPr>
          <a:xfrm>
            <a:off x="76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9" name="$D$1">
            <a:extLst>
              <a:ext uri="{FF2B5EF4-FFF2-40B4-BE49-F238E27FC236}">
                <a16:creationId xmlns:a16="http://schemas.microsoft.com/office/drawing/2014/main" id="{F8F95C79-B1C4-4A8E-94C4-29CD1B9D4068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20" name="$D$1">
            <a:extLst>
              <a:ext uri="{FF2B5EF4-FFF2-40B4-BE49-F238E27FC236}">
                <a16:creationId xmlns:a16="http://schemas.microsoft.com/office/drawing/2014/main" id="{4E5043C4-34C7-41B3-8E13-F4FCB8522973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21" name="$D$1">
            <a:extLst>
              <a:ext uri="{FF2B5EF4-FFF2-40B4-BE49-F238E27FC236}">
                <a16:creationId xmlns:a16="http://schemas.microsoft.com/office/drawing/2014/main" id="{9DBC1C7B-759D-45C9-8EBF-F417A6F63C32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2</xdr:col>
      <xdr:colOff>44395</xdr:colOff>
      <xdr:row>1</xdr:row>
      <xdr:rowOff>227275</xdr:rowOff>
    </xdr:from>
    <xdr:to>
      <xdr:col>2</xdr:col>
      <xdr:colOff>1030025</xdr:colOff>
      <xdr:row>1</xdr:row>
      <xdr:rowOff>1212905</xdr:rowOff>
    </xdr:to>
    <xdr:grpSp>
      <xdr:nvGrpSpPr>
        <xdr:cNvPr id="42549" name="$C$2" descr="QuickResponse barcode, level H, version 1, mode binary, 21x21 cells" title="test">
          <a:extLst>
            <a:ext uri="{FF2B5EF4-FFF2-40B4-BE49-F238E27FC236}">
              <a16:creationId xmlns:a16="http://schemas.microsoft.com/office/drawing/2014/main" id="{234AD57E-BF15-49CE-9602-90755E512A4A}"/>
            </a:ext>
          </a:extLst>
        </xdr:cNvPr>
        <xdr:cNvGrpSpPr>
          <a:grpSpLocks noChangeAspect="1"/>
        </xdr:cNvGrpSpPr>
      </xdr:nvGrpSpPr>
      <xdr:grpSpPr>
        <a:xfrm>
          <a:off x="3420055" y="1652215"/>
          <a:ext cx="985630" cy="985630"/>
          <a:chOff x="0" y="0"/>
          <a:chExt cx="266700" cy="266700"/>
        </a:xfrm>
        <a:solidFill>
          <a:srgbClr val="000000"/>
        </a:solidFill>
      </xdr:grpSpPr>
      <xdr:sp macro="" textlink="">
        <xdr:nvSpPr>
          <xdr:cNvPr id="42323" name="$C$2">
            <a:extLst>
              <a:ext uri="{FF2B5EF4-FFF2-40B4-BE49-F238E27FC236}">
                <a16:creationId xmlns:a16="http://schemas.microsoft.com/office/drawing/2014/main" id="{F0F7B397-5234-4822-B6C1-425B8B196A2F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24" name="$C$2">
            <a:extLst>
              <a:ext uri="{FF2B5EF4-FFF2-40B4-BE49-F238E27FC236}">
                <a16:creationId xmlns:a16="http://schemas.microsoft.com/office/drawing/2014/main" id="{C8733A3B-ACFB-43B0-A2AF-FE2AD2015C4A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25" name="$C$2">
            <a:extLst>
              <a:ext uri="{FF2B5EF4-FFF2-40B4-BE49-F238E27FC236}">
                <a16:creationId xmlns:a16="http://schemas.microsoft.com/office/drawing/2014/main" id="{013CCE48-6D13-4D2E-A487-0844260D29EE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26" name="$C$2">
            <a:extLst>
              <a:ext uri="{FF2B5EF4-FFF2-40B4-BE49-F238E27FC236}">
                <a16:creationId xmlns:a16="http://schemas.microsoft.com/office/drawing/2014/main" id="{7431F67F-DB5E-43B1-940F-C9F0504933B1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27" name="$C$2">
            <a:extLst>
              <a:ext uri="{FF2B5EF4-FFF2-40B4-BE49-F238E27FC236}">
                <a16:creationId xmlns:a16="http://schemas.microsoft.com/office/drawing/2014/main" id="{BDEBD70D-6933-4BF4-8779-B09534C29BA1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28" name="$C$2">
            <a:extLst>
              <a:ext uri="{FF2B5EF4-FFF2-40B4-BE49-F238E27FC236}">
                <a16:creationId xmlns:a16="http://schemas.microsoft.com/office/drawing/2014/main" id="{621D79D8-38D2-41E5-8DB3-5B1FC3132499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29" name="$C$2">
            <a:extLst>
              <a:ext uri="{FF2B5EF4-FFF2-40B4-BE49-F238E27FC236}">
                <a16:creationId xmlns:a16="http://schemas.microsoft.com/office/drawing/2014/main" id="{8CEB5051-1454-4933-A4E3-E8C64968F9F9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0" name="$C$2">
            <a:extLst>
              <a:ext uri="{FF2B5EF4-FFF2-40B4-BE49-F238E27FC236}">
                <a16:creationId xmlns:a16="http://schemas.microsoft.com/office/drawing/2014/main" id="{3E4E4F48-D2FE-4B05-96B3-4D9A0B96B33C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1" name="$C$2">
            <a:extLst>
              <a:ext uri="{FF2B5EF4-FFF2-40B4-BE49-F238E27FC236}">
                <a16:creationId xmlns:a16="http://schemas.microsoft.com/office/drawing/2014/main" id="{8C8B72D0-F4A7-4B5A-8B76-EA8CD915B34B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2" name="$C$2">
            <a:extLst>
              <a:ext uri="{FF2B5EF4-FFF2-40B4-BE49-F238E27FC236}">
                <a16:creationId xmlns:a16="http://schemas.microsoft.com/office/drawing/2014/main" id="{C0CEC96D-5A07-4087-9783-2117DA029442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3" name="$C$2">
            <a:extLst>
              <a:ext uri="{FF2B5EF4-FFF2-40B4-BE49-F238E27FC236}">
                <a16:creationId xmlns:a16="http://schemas.microsoft.com/office/drawing/2014/main" id="{C4B07134-1963-4BEF-A08B-26446838883E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4" name="$C$2">
            <a:extLst>
              <a:ext uri="{FF2B5EF4-FFF2-40B4-BE49-F238E27FC236}">
                <a16:creationId xmlns:a16="http://schemas.microsoft.com/office/drawing/2014/main" id="{4082C844-A929-4BEE-8282-273FD27A6D11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5" name="$C$2">
            <a:extLst>
              <a:ext uri="{FF2B5EF4-FFF2-40B4-BE49-F238E27FC236}">
                <a16:creationId xmlns:a16="http://schemas.microsoft.com/office/drawing/2014/main" id="{43235E0F-3390-4A13-8E05-55ACF4D4FB97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6" name="$C$2">
            <a:extLst>
              <a:ext uri="{FF2B5EF4-FFF2-40B4-BE49-F238E27FC236}">
                <a16:creationId xmlns:a16="http://schemas.microsoft.com/office/drawing/2014/main" id="{E891C35D-9D39-44BB-AC9C-ECF8864834E8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7" name="$C$2">
            <a:extLst>
              <a:ext uri="{FF2B5EF4-FFF2-40B4-BE49-F238E27FC236}">
                <a16:creationId xmlns:a16="http://schemas.microsoft.com/office/drawing/2014/main" id="{93C6B536-037C-494E-9C60-D858AE8EADCC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8" name="$C$2">
            <a:extLst>
              <a:ext uri="{FF2B5EF4-FFF2-40B4-BE49-F238E27FC236}">
                <a16:creationId xmlns:a16="http://schemas.microsoft.com/office/drawing/2014/main" id="{D76404A8-12C2-43A0-B001-D9DF5467BFE6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9" name="$C$2">
            <a:extLst>
              <a:ext uri="{FF2B5EF4-FFF2-40B4-BE49-F238E27FC236}">
                <a16:creationId xmlns:a16="http://schemas.microsoft.com/office/drawing/2014/main" id="{671124F8-24C1-40BA-8936-5C9213397413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0" name="$C$2">
            <a:extLst>
              <a:ext uri="{FF2B5EF4-FFF2-40B4-BE49-F238E27FC236}">
                <a16:creationId xmlns:a16="http://schemas.microsoft.com/office/drawing/2014/main" id="{52DD2B84-D540-465D-848B-982F8BFC7666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1" name="$C$2">
            <a:extLst>
              <a:ext uri="{FF2B5EF4-FFF2-40B4-BE49-F238E27FC236}">
                <a16:creationId xmlns:a16="http://schemas.microsoft.com/office/drawing/2014/main" id="{0CD96666-9085-4059-B02C-3356DB26AC16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2" name="$C$2">
            <a:extLst>
              <a:ext uri="{FF2B5EF4-FFF2-40B4-BE49-F238E27FC236}">
                <a16:creationId xmlns:a16="http://schemas.microsoft.com/office/drawing/2014/main" id="{E4D1A7EF-3AE5-4655-A26B-DC67C1B33289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3" name="$C$2">
            <a:extLst>
              <a:ext uri="{FF2B5EF4-FFF2-40B4-BE49-F238E27FC236}">
                <a16:creationId xmlns:a16="http://schemas.microsoft.com/office/drawing/2014/main" id="{A65B9033-EC93-402F-914C-134C8EE2098D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4" name="$C$2">
            <a:extLst>
              <a:ext uri="{FF2B5EF4-FFF2-40B4-BE49-F238E27FC236}">
                <a16:creationId xmlns:a16="http://schemas.microsoft.com/office/drawing/2014/main" id="{A2768BEC-C6CE-4865-BB57-5C4B1D4113B2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5" name="$C$2">
            <a:extLst>
              <a:ext uri="{FF2B5EF4-FFF2-40B4-BE49-F238E27FC236}">
                <a16:creationId xmlns:a16="http://schemas.microsoft.com/office/drawing/2014/main" id="{C16206A2-4CEC-4ECD-AD55-81818F5FE347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6" name="$C$2">
            <a:extLst>
              <a:ext uri="{FF2B5EF4-FFF2-40B4-BE49-F238E27FC236}">
                <a16:creationId xmlns:a16="http://schemas.microsoft.com/office/drawing/2014/main" id="{32AD665E-23A1-4B55-A935-6BBEC7316EE4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7" name="$C$2">
            <a:extLst>
              <a:ext uri="{FF2B5EF4-FFF2-40B4-BE49-F238E27FC236}">
                <a16:creationId xmlns:a16="http://schemas.microsoft.com/office/drawing/2014/main" id="{4DF70A24-452F-4EBE-82A0-54609DE77CE1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8" name="$C$2">
            <a:extLst>
              <a:ext uri="{FF2B5EF4-FFF2-40B4-BE49-F238E27FC236}">
                <a16:creationId xmlns:a16="http://schemas.microsoft.com/office/drawing/2014/main" id="{12C523B8-DAE3-4E51-9CF5-77F22199446C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9" name="$C$2">
            <a:extLst>
              <a:ext uri="{FF2B5EF4-FFF2-40B4-BE49-F238E27FC236}">
                <a16:creationId xmlns:a16="http://schemas.microsoft.com/office/drawing/2014/main" id="{53177EAE-1F29-4ACA-81C1-DD9DB9AA7579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0" name="$C$2">
            <a:extLst>
              <a:ext uri="{FF2B5EF4-FFF2-40B4-BE49-F238E27FC236}">
                <a16:creationId xmlns:a16="http://schemas.microsoft.com/office/drawing/2014/main" id="{F745B092-37BC-44BD-B3A8-C5879F5BB20B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1" name="$C$2">
            <a:extLst>
              <a:ext uri="{FF2B5EF4-FFF2-40B4-BE49-F238E27FC236}">
                <a16:creationId xmlns:a16="http://schemas.microsoft.com/office/drawing/2014/main" id="{62EC974C-2424-4E9C-9E38-2DC83C17DF36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2" name="$C$2">
            <a:extLst>
              <a:ext uri="{FF2B5EF4-FFF2-40B4-BE49-F238E27FC236}">
                <a16:creationId xmlns:a16="http://schemas.microsoft.com/office/drawing/2014/main" id="{F389128F-EAB7-4019-8600-7B1223DE6656}"/>
              </a:ext>
            </a:extLst>
          </xdr:cNvPr>
          <xdr:cNvSpPr/>
        </xdr:nvSpPr>
        <xdr:spPr>
          <a:xfrm>
            <a:off x="101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3" name="$C$2">
            <a:extLst>
              <a:ext uri="{FF2B5EF4-FFF2-40B4-BE49-F238E27FC236}">
                <a16:creationId xmlns:a16="http://schemas.microsoft.com/office/drawing/2014/main" id="{647B3B6F-AB40-4B82-A4AE-117006A41E59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4" name="$C$2">
            <a:extLst>
              <a:ext uri="{FF2B5EF4-FFF2-40B4-BE49-F238E27FC236}">
                <a16:creationId xmlns:a16="http://schemas.microsoft.com/office/drawing/2014/main" id="{8B980015-6F7A-41DA-955E-D7F4C0E4B3B8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5" name="$C$2">
            <a:extLst>
              <a:ext uri="{FF2B5EF4-FFF2-40B4-BE49-F238E27FC236}">
                <a16:creationId xmlns:a16="http://schemas.microsoft.com/office/drawing/2014/main" id="{1CEF506E-039A-4E10-BD72-6000AEC661E1}"/>
              </a:ext>
            </a:extLst>
          </xdr:cNvPr>
          <xdr:cNvSpPr/>
        </xdr:nvSpPr>
        <xdr:spPr>
          <a:xfrm>
            <a:off x="1397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6" name="$C$2">
            <a:extLst>
              <a:ext uri="{FF2B5EF4-FFF2-40B4-BE49-F238E27FC236}">
                <a16:creationId xmlns:a16="http://schemas.microsoft.com/office/drawing/2014/main" id="{58BE1D5A-03C0-46F9-BD9E-7B48093D5ACB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7" name="$C$2">
            <a:extLst>
              <a:ext uri="{FF2B5EF4-FFF2-40B4-BE49-F238E27FC236}">
                <a16:creationId xmlns:a16="http://schemas.microsoft.com/office/drawing/2014/main" id="{054F410E-6034-4671-AEC0-8C0FF2F9315F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8" name="$C$2">
            <a:extLst>
              <a:ext uri="{FF2B5EF4-FFF2-40B4-BE49-F238E27FC236}">
                <a16:creationId xmlns:a16="http://schemas.microsoft.com/office/drawing/2014/main" id="{9725CCDD-AB2C-4CCD-897F-9FD0020D13A4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9" name="$C$2">
            <a:extLst>
              <a:ext uri="{FF2B5EF4-FFF2-40B4-BE49-F238E27FC236}">
                <a16:creationId xmlns:a16="http://schemas.microsoft.com/office/drawing/2014/main" id="{486F0F87-8567-439B-87BF-7E8346D14269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0" name="$C$2">
            <a:extLst>
              <a:ext uri="{FF2B5EF4-FFF2-40B4-BE49-F238E27FC236}">
                <a16:creationId xmlns:a16="http://schemas.microsoft.com/office/drawing/2014/main" id="{241B56C7-3D59-4917-9C52-B9E9C7A962FF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1" name="$C$2">
            <a:extLst>
              <a:ext uri="{FF2B5EF4-FFF2-40B4-BE49-F238E27FC236}">
                <a16:creationId xmlns:a16="http://schemas.microsoft.com/office/drawing/2014/main" id="{D012ED66-AA5A-47DF-A6CE-73B8293F2714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2" name="$C$2">
            <a:extLst>
              <a:ext uri="{FF2B5EF4-FFF2-40B4-BE49-F238E27FC236}">
                <a16:creationId xmlns:a16="http://schemas.microsoft.com/office/drawing/2014/main" id="{D60E6F14-905C-487C-810C-DF6749D70DE2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3" name="$C$2">
            <a:extLst>
              <a:ext uri="{FF2B5EF4-FFF2-40B4-BE49-F238E27FC236}">
                <a16:creationId xmlns:a16="http://schemas.microsoft.com/office/drawing/2014/main" id="{6513A442-4590-415A-8AB9-67AFAC5D84E7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4" name="$C$2">
            <a:extLst>
              <a:ext uri="{FF2B5EF4-FFF2-40B4-BE49-F238E27FC236}">
                <a16:creationId xmlns:a16="http://schemas.microsoft.com/office/drawing/2014/main" id="{F140F663-08AE-4B03-9E9C-C881809A1E44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5" name="$C$2">
            <a:extLst>
              <a:ext uri="{FF2B5EF4-FFF2-40B4-BE49-F238E27FC236}">
                <a16:creationId xmlns:a16="http://schemas.microsoft.com/office/drawing/2014/main" id="{F293E86E-F5B3-4834-897D-5625FA271DAC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6" name="$C$2">
            <a:extLst>
              <a:ext uri="{FF2B5EF4-FFF2-40B4-BE49-F238E27FC236}">
                <a16:creationId xmlns:a16="http://schemas.microsoft.com/office/drawing/2014/main" id="{4D670AC0-41DE-41F3-A787-A47CC2CEE22A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7" name="$C$2">
            <a:extLst>
              <a:ext uri="{FF2B5EF4-FFF2-40B4-BE49-F238E27FC236}">
                <a16:creationId xmlns:a16="http://schemas.microsoft.com/office/drawing/2014/main" id="{F3F7C01F-00CA-491F-81D0-3CFA298F2058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8" name="$C$2">
            <a:extLst>
              <a:ext uri="{FF2B5EF4-FFF2-40B4-BE49-F238E27FC236}">
                <a16:creationId xmlns:a16="http://schemas.microsoft.com/office/drawing/2014/main" id="{413417A7-721A-4CEB-BD42-0BABA38A72D8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9" name="$C$2">
            <a:extLst>
              <a:ext uri="{FF2B5EF4-FFF2-40B4-BE49-F238E27FC236}">
                <a16:creationId xmlns:a16="http://schemas.microsoft.com/office/drawing/2014/main" id="{487FC9B7-1C65-4E49-9409-FA472DB0358D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0" name="$C$2">
            <a:extLst>
              <a:ext uri="{FF2B5EF4-FFF2-40B4-BE49-F238E27FC236}">
                <a16:creationId xmlns:a16="http://schemas.microsoft.com/office/drawing/2014/main" id="{F250E872-7014-4374-8160-F7096EA4A276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1" name="$C$2">
            <a:extLst>
              <a:ext uri="{FF2B5EF4-FFF2-40B4-BE49-F238E27FC236}">
                <a16:creationId xmlns:a16="http://schemas.microsoft.com/office/drawing/2014/main" id="{D4FCCFDA-D99E-4365-BD80-EFE195FD1191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2" name="$C$2">
            <a:extLst>
              <a:ext uri="{FF2B5EF4-FFF2-40B4-BE49-F238E27FC236}">
                <a16:creationId xmlns:a16="http://schemas.microsoft.com/office/drawing/2014/main" id="{8FDCD30D-D6A0-47E0-B768-8C96C77C6EC4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3" name="$C$2">
            <a:extLst>
              <a:ext uri="{FF2B5EF4-FFF2-40B4-BE49-F238E27FC236}">
                <a16:creationId xmlns:a16="http://schemas.microsoft.com/office/drawing/2014/main" id="{B2203098-A3AE-40AC-A638-88F1165A0119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4" name="$C$2">
            <a:extLst>
              <a:ext uri="{FF2B5EF4-FFF2-40B4-BE49-F238E27FC236}">
                <a16:creationId xmlns:a16="http://schemas.microsoft.com/office/drawing/2014/main" id="{AD07409C-0B76-4BE0-8143-3B83F8D1A702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5" name="$C$2">
            <a:extLst>
              <a:ext uri="{FF2B5EF4-FFF2-40B4-BE49-F238E27FC236}">
                <a16:creationId xmlns:a16="http://schemas.microsoft.com/office/drawing/2014/main" id="{B00F201E-897E-4B67-B6C9-9AD46B8B5C4B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6" name="$C$2">
            <a:extLst>
              <a:ext uri="{FF2B5EF4-FFF2-40B4-BE49-F238E27FC236}">
                <a16:creationId xmlns:a16="http://schemas.microsoft.com/office/drawing/2014/main" id="{F943B5B5-0F7B-43F4-841C-B5B880AABA77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7" name="$C$2">
            <a:extLst>
              <a:ext uri="{FF2B5EF4-FFF2-40B4-BE49-F238E27FC236}">
                <a16:creationId xmlns:a16="http://schemas.microsoft.com/office/drawing/2014/main" id="{DCC57B13-E3DA-4D55-8AEE-63BFDA21D9A6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8" name="$C$2">
            <a:extLst>
              <a:ext uri="{FF2B5EF4-FFF2-40B4-BE49-F238E27FC236}">
                <a16:creationId xmlns:a16="http://schemas.microsoft.com/office/drawing/2014/main" id="{34B48A4C-DCE2-4991-A61F-35BCBDB4D98F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9" name="$C$2">
            <a:extLst>
              <a:ext uri="{FF2B5EF4-FFF2-40B4-BE49-F238E27FC236}">
                <a16:creationId xmlns:a16="http://schemas.microsoft.com/office/drawing/2014/main" id="{A5674F83-9E7C-42AC-B6CB-33F771A6F0BC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0" name="$C$2">
            <a:extLst>
              <a:ext uri="{FF2B5EF4-FFF2-40B4-BE49-F238E27FC236}">
                <a16:creationId xmlns:a16="http://schemas.microsoft.com/office/drawing/2014/main" id="{BED5355D-957F-405C-9AD7-63DF62485157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1" name="$C$2">
            <a:extLst>
              <a:ext uri="{FF2B5EF4-FFF2-40B4-BE49-F238E27FC236}">
                <a16:creationId xmlns:a16="http://schemas.microsoft.com/office/drawing/2014/main" id="{F3395EDA-76F6-4509-9B9C-A1674D0627E7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2" name="$C$2">
            <a:extLst>
              <a:ext uri="{FF2B5EF4-FFF2-40B4-BE49-F238E27FC236}">
                <a16:creationId xmlns:a16="http://schemas.microsoft.com/office/drawing/2014/main" id="{1A8994A9-2789-452E-9B50-D1AC3D38CF7F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3" name="$C$2">
            <a:extLst>
              <a:ext uri="{FF2B5EF4-FFF2-40B4-BE49-F238E27FC236}">
                <a16:creationId xmlns:a16="http://schemas.microsoft.com/office/drawing/2014/main" id="{BCA3863C-5236-4DF5-9043-855315BCD46E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4" name="$C$2">
            <a:extLst>
              <a:ext uri="{FF2B5EF4-FFF2-40B4-BE49-F238E27FC236}">
                <a16:creationId xmlns:a16="http://schemas.microsoft.com/office/drawing/2014/main" id="{8808282E-6633-404E-9A07-04CDA51C5C25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5" name="$C$2">
            <a:extLst>
              <a:ext uri="{FF2B5EF4-FFF2-40B4-BE49-F238E27FC236}">
                <a16:creationId xmlns:a16="http://schemas.microsoft.com/office/drawing/2014/main" id="{34A91AB0-CB6E-419E-BDE4-4AC5F36367BF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6" name="$C$2">
            <a:extLst>
              <a:ext uri="{FF2B5EF4-FFF2-40B4-BE49-F238E27FC236}">
                <a16:creationId xmlns:a16="http://schemas.microsoft.com/office/drawing/2014/main" id="{173578B7-2B23-4044-B3E0-085E993108D9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7" name="$C$2">
            <a:extLst>
              <a:ext uri="{FF2B5EF4-FFF2-40B4-BE49-F238E27FC236}">
                <a16:creationId xmlns:a16="http://schemas.microsoft.com/office/drawing/2014/main" id="{818C2BCD-EC31-42F3-A876-D9C13638CF13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8" name="$C$2">
            <a:extLst>
              <a:ext uri="{FF2B5EF4-FFF2-40B4-BE49-F238E27FC236}">
                <a16:creationId xmlns:a16="http://schemas.microsoft.com/office/drawing/2014/main" id="{9A7AC8EA-92FD-4E3F-893A-590FDD4C7263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9" name="$C$2">
            <a:extLst>
              <a:ext uri="{FF2B5EF4-FFF2-40B4-BE49-F238E27FC236}">
                <a16:creationId xmlns:a16="http://schemas.microsoft.com/office/drawing/2014/main" id="{29461EF9-95C5-47C7-842A-40725D5C4431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0" name="$C$2">
            <a:extLst>
              <a:ext uri="{FF2B5EF4-FFF2-40B4-BE49-F238E27FC236}">
                <a16:creationId xmlns:a16="http://schemas.microsoft.com/office/drawing/2014/main" id="{D8A23034-14C3-4868-AAD8-33D354014147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1" name="$C$2">
            <a:extLst>
              <a:ext uri="{FF2B5EF4-FFF2-40B4-BE49-F238E27FC236}">
                <a16:creationId xmlns:a16="http://schemas.microsoft.com/office/drawing/2014/main" id="{C4965C2E-4AAE-4F2C-AB13-BB21C945CD4F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2" name="$C$2">
            <a:extLst>
              <a:ext uri="{FF2B5EF4-FFF2-40B4-BE49-F238E27FC236}">
                <a16:creationId xmlns:a16="http://schemas.microsoft.com/office/drawing/2014/main" id="{E3E9F9DC-A51F-482F-885F-E3DF2F84E8B3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3" name="$C$2">
            <a:extLst>
              <a:ext uri="{FF2B5EF4-FFF2-40B4-BE49-F238E27FC236}">
                <a16:creationId xmlns:a16="http://schemas.microsoft.com/office/drawing/2014/main" id="{65F968D8-EEAB-4B36-9B07-63C2D71EF4A4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4" name="$C$2">
            <a:extLst>
              <a:ext uri="{FF2B5EF4-FFF2-40B4-BE49-F238E27FC236}">
                <a16:creationId xmlns:a16="http://schemas.microsoft.com/office/drawing/2014/main" id="{C185CEEC-8979-4AC6-AEA0-E2EFBDC3E8A1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5" name="$C$2">
            <a:extLst>
              <a:ext uri="{FF2B5EF4-FFF2-40B4-BE49-F238E27FC236}">
                <a16:creationId xmlns:a16="http://schemas.microsoft.com/office/drawing/2014/main" id="{D3AD94FE-81CD-476F-BF82-FD7D3D049441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6" name="$C$2">
            <a:extLst>
              <a:ext uri="{FF2B5EF4-FFF2-40B4-BE49-F238E27FC236}">
                <a16:creationId xmlns:a16="http://schemas.microsoft.com/office/drawing/2014/main" id="{7BD62F7B-82A1-4C73-B115-7183FD2596A2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7" name="$C$2">
            <a:extLst>
              <a:ext uri="{FF2B5EF4-FFF2-40B4-BE49-F238E27FC236}">
                <a16:creationId xmlns:a16="http://schemas.microsoft.com/office/drawing/2014/main" id="{F920D3D4-76EC-4281-99E9-4A5125BBFAE3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8" name="$C$2">
            <a:extLst>
              <a:ext uri="{FF2B5EF4-FFF2-40B4-BE49-F238E27FC236}">
                <a16:creationId xmlns:a16="http://schemas.microsoft.com/office/drawing/2014/main" id="{CB47EB90-AFF5-4720-A93A-963853500AE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9" name="$C$2">
            <a:extLst>
              <a:ext uri="{FF2B5EF4-FFF2-40B4-BE49-F238E27FC236}">
                <a16:creationId xmlns:a16="http://schemas.microsoft.com/office/drawing/2014/main" id="{A5B390B7-960E-4AC1-AEF4-5DA122F3953C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0" name="$C$2">
            <a:extLst>
              <a:ext uri="{FF2B5EF4-FFF2-40B4-BE49-F238E27FC236}">
                <a16:creationId xmlns:a16="http://schemas.microsoft.com/office/drawing/2014/main" id="{B72610C4-A99D-43EC-9C7A-865BDEA63733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1" name="$C$2">
            <a:extLst>
              <a:ext uri="{FF2B5EF4-FFF2-40B4-BE49-F238E27FC236}">
                <a16:creationId xmlns:a16="http://schemas.microsoft.com/office/drawing/2014/main" id="{65BA6817-7FEA-47A0-9B39-972D570FB8E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2" name="$C$2">
            <a:extLst>
              <a:ext uri="{FF2B5EF4-FFF2-40B4-BE49-F238E27FC236}">
                <a16:creationId xmlns:a16="http://schemas.microsoft.com/office/drawing/2014/main" id="{3E2A331B-9680-4337-9028-8C60153E9262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3" name="$C$2">
            <a:extLst>
              <a:ext uri="{FF2B5EF4-FFF2-40B4-BE49-F238E27FC236}">
                <a16:creationId xmlns:a16="http://schemas.microsoft.com/office/drawing/2014/main" id="{30A7B610-123C-454B-A227-E7381BEE3D5D}"/>
              </a:ext>
            </a:extLst>
          </xdr:cNvPr>
          <xdr:cNvSpPr/>
        </xdr:nvSpPr>
        <xdr:spPr>
          <a:xfrm>
            <a:off x="190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4" name="$C$2">
            <a:extLst>
              <a:ext uri="{FF2B5EF4-FFF2-40B4-BE49-F238E27FC236}">
                <a16:creationId xmlns:a16="http://schemas.microsoft.com/office/drawing/2014/main" id="{F7521BEF-B0C5-4098-8E9F-F1CD21CA21DA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5" name="$C$2">
            <a:extLst>
              <a:ext uri="{FF2B5EF4-FFF2-40B4-BE49-F238E27FC236}">
                <a16:creationId xmlns:a16="http://schemas.microsoft.com/office/drawing/2014/main" id="{05BB3753-745E-4318-9800-DA3BA27D68F2}"/>
              </a:ext>
            </a:extLst>
          </xdr:cNvPr>
          <xdr:cNvSpPr/>
        </xdr:nvSpPr>
        <xdr:spPr>
          <a:xfrm>
            <a:off x="215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6" name="$C$2">
            <a:extLst>
              <a:ext uri="{FF2B5EF4-FFF2-40B4-BE49-F238E27FC236}">
                <a16:creationId xmlns:a16="http://schemas.microsoft.com/office/drawing/2014/main" id="{8E12770A-EAE8-49CA-A72A-D1D87F23EBF5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7" name="$C$2">
            <a:extLst>
              <a:ext uri="{FF2B5EF4-FFF2-40B4-BE49-F238E27FC236}">
                <a16:creationId xmlns:a16="http://schemas.microsoft.com/office/drawing/2014/main" id="{9DE70902-E90B-42B5-B7CF-63493ECCAD70}"/>
              </a:ext>
            </a:extLst>
          </xdr:cNvPr>
          <xdr:cNvSpPr/>
        </xdr:nvSpPr>
        <xdr:spPr>
          <a:xfrm>
            <a:off x="2413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8" name="$C$2">
            <a:extLst>
              <a:ext uri="{FF2B5EF4-FFF2-40B4-BE49-F238E27FC236}">
                <a16:creationId xmlns:a16="http://schemas.microsoft.com/office/drawing/2014/main" id="{CDF5C265-30D7-4174-B5E8-D3372B4EC8A1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9" name="$C$2">
            <a:extLst>
              <a:ext uri="{FF2B5EF4-FFF2-40B4-BE49-F238E27FC236}">
                <a16:creationId xmlns:a16="http://schemas.microsoft.com/office/drawing/2014/main" id="{1FC599E0-B10C-4D9E-BD58-F67959DF82DA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0" name="$C$2">
            <a:extLst>
              <a:ext uri="{FF2B5EF4-FFF2-40B4-BE49-F238E27FC236}">
                <a16:creationId xmlns:a16="http://schemas.microsoft.com/office/drawing/2014/main" id="{503AF0DF-10C1-4BB4-A3F6-3E5E9C2ABE03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1" name="$C$2">
            <a:extLst>
              <a:ext uri="{FF2B5EF4-FFF2-40B4-BE49-F238E27FC236}">
                <a16:creationId xmlns:a16="http://schemas.microsoft.com/office/drawing/2014/main" id="{21B947BD-B255-4341-9171-E34A7F7584A8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2" name="$C$2">
            <a:extLst>
              <a:ext uri="{FF2B5EF4-FFF2-40B4-BE49-F238E27FC236}">
                <a16:creationId xmlns:a16="http://schemas.microsoft.com/office/drawing/2014/main" id="{F392BB39-0965-4CF8-A0D3-B4B616316159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3" name="$C$2">
            <a:extLst>
              <a:ext uri="{FF2B5EF4-FFF2-40B4-BE49-F238E27FC236}">
                <a16:creationId xmlns:a16="http://schemas.microsoft.com/office/drawing/2014/main" id="{46D03377-0B6F-4ABC-9FF1-ADAE67F87CD4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4" name="$C$2">
            <a:extLst>
              <a:ext uri="{FF2B5EF4-FFF2-40B4-BE49-F238E27FC236}">
                <a16:creationId xmlns:a16="http://schemas.microsoft.com/office/drawing/2014/main" id="{7B6E1C46-DEE8-442D-A409-D39BAC5CF17B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5" name="$C$2">
            <a:extLst>
              <a:ext uri="{FF2B5EF4-FFF2-40B4-BE49-F238E27FC236}">
                <a16:creationId xmlns:a16="http://schemas.microsoft.com/office/drawing/2014/main" id="{5CBDDCF4-889E-474D-B120-3CD8332E4249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6" name="$C$2">
            <a:extLst>
              <a:ext uri="{FF2B5EF4-FFF2-40B4-BE49-F238E27FC236}">
                <a16:creationId xmlns:a16="http://schemas.microsoft.com/office/drawing/2014/main" id="{FE40CF1D-60C8-4F89-AAD4-E0649E3770B3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7" name="$C$2">
            <a:extLst>
              <a:ext uri="{FF2B5EF4-FFF2-40B4-BE49-F238E27FC236}">
                <a16:creationId xmlns:a16="http://schemas.microsoft.com/office/drawing/2014/main" id="{29E411E5-161D-4A37-AF57-008683635CDE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8" name="$C$2">
            <a:extLst>
              <a:ext uri="{FF2B5EF4-FFF2-40B4-BE49-F238E27FC236}">
                <a16:creationId xmlns:a16="http://schemas.microsoft.com/office/drawing/2014/main" id="{BEF9CFD1-FA28-4556-8069-6D7C4D8A2763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9" name="$C$2">
            <a:extLst>
              <a:ext uri="{FF2B5EF4-FFF2-40B4-BE49-F238E27FC236}">
                <a16:creationId xmlns:a16="http://schemas.microsoft.com/office/drawing/2014/main" id="{6C160F6E-42AB-4350-BA93-3A2D5330EB76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0" name="$C$2">
            <a:extLst>
              <a:ext uri="{FF2B5EF4-FFF2-40B4-BE49-F238E27FC236}">
                <a16:creationId xmlns:a16="http://schemas.microsoft.com/office/drawing/2014/main" id="{6C61536B-6417-4261-AB52-54BEBB49F55D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1" name="$C$2">
            <a:extLst>
              <a:ext uri="{FF2B5EF4-FFF2-40B4-BE49-F238E27FC236}">
                <a16:creationId xmlns:a16="http://schemas.microsoft.com/office/drawing/2014/main" id="{07120A49-BA5D-4E37-9E01-5F30CAEA4DCF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2" name="$C$2">
            <a:extLst>
              <a:ext uri="{FF2B5EF4-FFF2-40B4-BE49-F238E27FC236}">
                <a16:creationId xmlns:a16="http://schemas.microsoft.com/office/drawing/2014/main" id="{983D2914-E5CE-4650-9806-49EFEE4EB5B0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3" name="$C$2">
            <a:extLst>
              <a:ext uri="{FF2B5EF4-FFF2-40B4-BE49-F238E27FC236}">
                <a16:creationId xmlns:a16="http://schemas.microsoft.com/office/drawing/2014/main" id="{B4087485-7BB1-47AF-A6A4-7452D394EC13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4" name="$C$2">
            <a:extLst>
              <a:ext uri="{FF2B5EF4-FFF2-40B4-BE49-F238E27FC236}">
                <a16:creationId xmlns:a16="http://schemas.microsoft.com/office/drawing/2014/main" id="{77FEB1AC-53B0-4B31-88E4-513A8FB9A9FD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5" name="$C$2">
            <a:extLst>
              <a:ext uri="{FF2B5EF4-FFF2-40B4-BE49-F238E27FC236}">
                <a16:creationId xmlns:a16="http://schemas.microsoft.com/office/drawing/2014/main" id="{7251FFD2-3747-49AE-884E-1A0B963CC585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6" name="$C$2">
            <a:extLst>
              <a:ext uri="{FF2B5EF4-FFF2-40B4-BE49-F238E27FC236}">
                <a16:creationId xmlns:a16="http://schemas.microsoft.com/office/drawing/2014/main" id="{24A03623-0FAF-4C33-AAFA-B45C2DD7131D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7" name="$C$2">
            <a:extLst>
              <a:ext uri="{FF2B5EF4-FFF2-40B4-BE49-F238E27FC236}">
                <a16:creationId xmlns:a16="http://schemas.microsoft.com/office/drawing/2014/main" id="{C60C2225-81E6-41E5-9D46-7F36D7B522CA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8" name="$C$2">
            <a:extLst>
              <a:ext uri="{FF2B5EF4-FFF2-40B4-BE49-F238E27FC236}">
                <a16:creationId xmlns:a16="http://schemas.microsoft.com/office/drawing/2014/main" id="{4998283A-343C-40A8-80E5-246DB67DE64E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9" name="$C$2">
            <a:extLst>
              <a:ext uri="{FF2B5EF4-FFF2-40B4-BE49-F238E27FC236}">
                <a16:creationId xmlns:a16="http://schemas.microsoft.com/office/drawing/2014/main" id="{6D5F3258-2DE2-46B5-8B7D-35E118FA5FA7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0" name="$C$2">
            <a:extLst>
              <a:ext uri="{FF2B5EF4-FFF2-40B4-BE49-F238E27FC236}">
                <a16:creationId xmlns:a16="http://schemas.microsoft.com/office/drawing/2014/main" id="{FEDC072E-3BCD-4375-95A6-F9801EAE653D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1" name="$C$2">
            <a:extLst>
              <a:ext uri="{FF2B5EF4-FFF2-40B4-BE49-F238E27FC236}">
                <a16:creationId xmlns:a16="http://schemas.microsoft.com/office/drawing/2014/main" id="{EDF444DB-9080-4238-82BC-A8E05308DDB8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2" name="$C$2">
            <a:extLst>
              <a:ext uri="{FF2B5EF4-FFF2-40B4-BE49-F238E27FC236}">
                <a16:creationId xmlns:a16="http://schemas.microsoft.com/office/drawing/2014/main" id="{7C329031-FE50-4617-8CCD-B1993B05880B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3" name="$C$2">
            <a:extLst>
              <a:ext uri="{FF2B5EF4-FFF2-40B4-BE49-F238E27FC236}">
                <a16:creationId xmlns:a16="http://schemas.microsoft.com/office/drawing/2014/main" id="{A477441C-D6AE-4E24-8004-46B4EEAD77DE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4" name="$C$2">
            <a:extLst>
              <a:ext uri="{FF2B5EF4-FFF2-40B4-BE49-F238E27FC236}">
                <a16:creationId xmlns:a16="http://schemas.microsoft.com/office/drawing/2014/main" id="{91E23DD9-B8A8-4ACF-87B5-9E6272253305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5" name="$C$2">
            <a:extLst>
              <a:ext uri="{FF2B5EF4-FFF2-40B4-BE49-F238E27FC236}">
                <a16:creationId xmlns:a16="http://schemas.microsoft.com/office/drawing/2014/main" id="{395CEBB0-E6CF-4FB8-8965-E35A898B0B40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6" name="$C$2">
            <a:extLst>
              <a:ext uri="{FF2B5EF4-FFF2-40B4-BE49-F238E27FC236}">
                <a16:creationId xmlns:a16="http://schemas.microsoft.com/office/drawing/2014/main" id="{C51938FB-EEE6-41D0-9F4C-A9054BAE9089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7" name="$C$2">
            <a:extLst>
              <a:ext uri="{FF2B5EF4-FFF2-40B4-BE49-F238E27FC236}">
                <a16:creationId xmlns:a16="http://schemas.microsoft.com/office/drawing/2014/main" id="{5CEA9F41-DAD1-4D6F-A178-B19195A4A773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8" name="$C$2">
            <a:extLst>
              <a:ext uri="{FF2B5EF4-FFF2-40B4-BE49-F238E27FC236}">
                <a16:creationId xmlns:a16="http://schemas.microsoft.com/office/drawing/2014/main" id="{0B7DAF85-644B-46EA-9B3D-13B64C2F15D9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9" name="$C$2">
            <a:extLst>
              <a:ext uri="{FF2B5EF4-FFF2-40B4-BE49-F238E27FC236}">
                <a16:creationId xmlns:a16="http://schemas.microsoft.com/office/drawing/2014/main" id="{4034EBEF-C03C-4010-B222-BA6AA920E71C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0" name="$C$2">
            <a:extLst>
              <a:ext uri="{FF2B5EF4-FFF2-40B4-BE49-F238E27FC236}">
                <a16:creationId xmlns:a16="http://schemas.microsoft.com/office/drawing/2014/main" id="{08677B39-0F35-432C-BD5E-9BE325C861EB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1" name="$C$2">
            <a:extLst>
              <a:ext uri="{FF2B5EF4-FFF2-40B4-BE49-F238E27FC236}">
                <a16:creationId xmlns:a16="http://schemas.microsoft.com/office/drawing/2014/main" id="{CD1AC0D3-7DCD-4032-A9A1-7D04F3318B3D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2" name="$C$2">
            <a:extLst>
              <a:ext uri="{FF2B5EF4-FFF2-40B4-BE49-F238E27FC236}">
                <a16:creationId xmlns:a16="http://schemas.microsoft.com/office/drawing/2014/main" id="{ED663736-3F19-44CA-A83E-7D5E286011D1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3" name="$C$2">
            <a:extLst>
              <a:ext uri="{FF2B5EF4-FFF2-40B4-BE49-F238E27FC236}">
                <a16:creationId xmlns:a16="http://schemas.microsoft.com/office/drawing/2014/main" id="{5EB540BD-0E0D-491D-A3AE-CC89FE69AEB1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4" name="$C$2">
            <a:extLst>
              <a:ext uri="{FF2B5EF4-FFF2-40B4-BE49-F238E27FC236}">
                <a16:creationId xmlns:a16="http://schemas.microsoft.com/office/drawing/2014/main" id="{BAF0A719-6669-4D89-B098-7EE6F73FDDB6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5" name="$C$2">
            <a:extLst>
              <a:ext uri="{FF2B5EF4-FFF2-40B4-BE49-F238E27FC236}">
                <a16:creationId xmlns:a16="http://schemas.microsoft.com/office/drawing/2014/main" id="{26D6C904-AFD1-42C8-B552-178084C4555A}"/>
              </a:ext>
            </a:extLst>
          </xdr:cNvPr>
          <xdr:cNvSpPr/>
        </xdr:nvSpPr>
        <xdr:spPr>
          <a:xfrm>
            <a:off x="228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6" name="$C$2">
            <a:extLst>
              <a:ext uri="{FF2B5EF4-FFF2-40B4-BE49-F238E27FC236}">
                <a16:creationId xmlns:a16="http://schemas.microsoft.com/office/drawing/2014/main" id="{48A27833-64B6-4186-A79F-690211FA3ED2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7" name="$C$2">
            <a:extLst>
              <a:ext uri="{FF2B5EF4-FFF2-40B4-BE49-F238E27FC236}">
                <a16:creationId xmlns:a16="http://schemas.microsoft.com/office/drawing/2014/main" id="{77CC88B2-C3CF-49CE-A9FB-475890EEE905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8" name="$C$2">
            <a:extLst>
              <a:ext uri="{FF2B5EF4-FFF2-40B4-BE49-F238E27FC236}">
                <a16:creationId xmlns:a16="http://schemas.microsoft.com/office/drawing/2014/main" id="{2D701881-F564-4982-A354-917B20ABCA44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9" name="$C$2">
            <a:extLst>
              <a:ext uri="{FF2B5EF4-FFF2-40B4-BE49-F238E27FC236}">
                <a16:creationId xmlns:a16="http://schemas.microsoft.com/office/drawing/2014/main" id="{753F69B0-1304-4666-8C9E-E5725F420CB4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0" name="$C$2">
            <a:extLst>
              <a:ext uri="{FF2B5EF4-FFF2-40B4-BE49-F238E27FC236}">
                <a16:creationId xmlns:a16="http://schemas.microsoft.com/office/drawing/2014/main" id="{D5F599B2-563A-493D-B4CE-880DD2A0E965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1" name="$C$2">
            <a:extLst>
              <a:ext uri="{FF2B5EF4-FFF2-40B4-BE49-F238E27FC236}">
                <a16:creationId xmlns:a16="http://schemas.microsoft.com/office/drawing/2014/main" id="{E9ED1CCB-C0BC-4E96-8C0E-8946B86B269E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2" name="$C$2">
            <a:extLst>
              <a:ext uri="{FF2B5EF4-FFF2-40B4-BE49-F238E27FC236}">
                <a16:creationId xmlns:a16="http://schemas.microsoft.com/office/drawing/2014/main" id="{28FAD2E3-C77B-49B1-9B00-8E25FC59F6D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3" name="$C$2">
            <a:extLst>
              <a:ext uri="{FF2B5EF4-FFF2-40B4-BE49-F238E27FC236}">
                <a16:creationId xmlns:a16="http://schemas.microsoft.com/office/drawing/2014/main" id="{452FF047-3A3F-4760-B9F7-68A92264CD4C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4" name="$C$2">
            <a:extLst>
              <a:ext uri="{FF2B5EF4-FFF2-40B4-BE49-F238E27FC236}">
                <a16:creationId xmlns:a16="http://schemas.microsoft.com/office/drawing/2014/main" id="{B13D1DB9-1A0D-48AD-8CE4-3F27655D02E1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5" name="$C$2">
            <a:extLst>
              <a:ext uri="{FF2B5EF4-FFF2-40B4-BE49-F238E27FC236}">
                <a16:creationId xmlns:a16="http://schemas.microsoft.com/office/drawing/2014/main" id="{B929468B-86D9-4692-BC63-3A1FF7FD4CC0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6" name="$C$2">
            <a:extLst>
              <a:ext uri="{FF2B5EF4-FFF2-40B4-BE49-F238E27FC236}">
                <a16:creationId xmlns:a16="http://schemas.microsoft.com/office/drawing/2014/main" id="{0E1487E1-1ABC-42C1-A549-07FE0A71A396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7" name="$C$2">
            <a:extLst>
              <a:ext uri="{FF2B5EF4-FFF2-40B4-BE49-F238E27FC236}">
                <a16:creationId xmlns:a16="http://schemas.microsoft.com/office/drawing/2014/main" id="{D9DA34C0-1DD5-4EFB-87B9-540DCE6450A8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8" name="$C$2">
            <a:extLst>
              <a:ext uri="{FF2B5EF4-FFF2-40B4-BE49-F238E27FC236}">
                <a16:creationId xmlns:a16="http://schemas.microsoft.com/office/drawing/2014/main" id="{8DFF8E46-2385-4BBF-9745-5A111B99B04F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9" name="$C$2">
            <a:extLst>
              <a:ext uri="{FF2B5EF4-FFF2-40B4-BE49-F238E27FC236}">
                <a16:creationId xmlns:a16="http://schemas.microsoft.com/office/drawing/2014/main" id="{6334D442-DF8C-4BE2-A16D-433B53F55E34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0" name="$C$2">
            <a:extLst>
              <a:ext uri="{FF2B5EF4-FFF2-40B4-BE49-F238E27FC236}">
                <a16:creationId xmlns:a16="http://schemas.microsoft.com/office/drawing/2014/main" id="{55709E8D-4EBB-43B3-9EA2-CBB7661AB95C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1" name="$C$2">
            <a:extLst>
              <a:ext uri="{FF2B5EF4-FFF2-40B4-BE49-F238E27FC236}">
                <a16:creationId xmlns:a16="http://schemas.microsoft.com/office/drawing/2014/main" id="{1223B813-B31C-442E-B2B2-EA56EEF600A6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2" name="$C$2">
            <a:extLst>
              <a:ext uri="{FF2B5EF4-FFF2-40B4-BE49-F238E27FC236}">
                <a16:creationId xmlns:a16="http://schemas.microsoft.com/office/drawing/2014/main" id="{6AC778AE-C79D-42A2-A2B8-E932907702DE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3" name="$C$2">
            <a:extLst>
              <a:ext uri="{FF2B5EF4-FFF2-40B4-BE49-F238E27FC236}">
                <a16:creationId xmlns:a16="http://schemas.microsoft.com/office/drawing/2014/main" id="{EB9A03E6-1EDA-49AF-AB75-B09FE0189DEC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4" name="$C$2">
            <a:extLst>
              <a:ext uri="{FF2B5EF4-FFF2-40B4-BE49-F238E27FC236}">
                <a16:creationId xmlns:a16="http://schemas.microsoft.com/office/drawing/2014/main" id="{3CCB4C27-93C7-4D54-A20C-42596D2AFFDD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5" name="$C$2">
            <a:extLst>
              <a:ext uri="{FF2B5EF4-FFF2-40B4-BE49-F238E27FC236}">
                <a16:creationId xmlns:a16="http://schemas.microsoft.com/office/drawing/2014/main" id="{2E9C520C-FE3F-45F4-AC04-D9054BB2BC5A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6" name="$C$2">
            <a:extLst>
              <a:ext uri="{FF2B5EF4-FFF2-40B4-BE49-F238E27FC236}">
                <a16:creationId xmlns:a16="http://schemas.microsoft.com/office/drawing/2014/main" id="{1169597C-A576-485B-AB56-1B9C1CEC9B17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7" name="$C$2">
            <a:extLst>
              <a:ext uri="{FF2B5EF4-FFF2-40B4-BE49-F238E27FC236}">
                <a16:creationId xmlns:a16="http://schemas.microsoft.com/office/drawing/2014/main" id="{7E46672E-86AA-4847-B05E-2924B552361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8" name="$C$2">
            <a:extLst>
              <a:ext uri="{FF2B5EF4-FFF2-40B4-BE49-F238E27FC236}">
                <a16:creationId xmlns:a16="http://schemas.microsoft.com/office/drawing/2014/main" id="{DE3E4194-826B-46C3-99F0-E9A0FE0D2C9D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9" name="$C$2">
            <a:extLst>
              <a:ext uri="{FF2B5EF4-FFF2-40B4-BE49-F238E27FC236}">
                <a16:creationId xmlns:a16="http://schemas.microsoft.com/office/drawing/2014/main" id="{525247E5-C629-432E-990F-3E7A81A27641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0" name="$C$2">
            <a:extLst>
              <a:ext uri="{FF2B5EF4-FFF2-40B4-BE49-F238E27FC236}">
                <a16:creationId xmlns:a16="http://schemas.microsoft.com/office/drawing/2014/main" id="{133C0D72-920D-4B06-ABD0-2790462C97D4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1" name="$C$2">
            <a:extLst>
              <a:ext uri="{FF2B5EF4-FFF2-40B4-BE49-F238E27FC236}">
                <a16:creationId xmlns:a16="http://schemas.microsoft.com/office/drawing/2014/main" id="{D6C64C3B-D543-4BEE-B4D9-6865EA0444E9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2" name="$C$2">
            <a:extLst>
              <a:ext uri="{FF2B5EF4-FFF2-40B4-BE49-F238E27FC236}">
                <a16:creationId xmlns:a16="http://schemas.microsoft.com/office/drawing/2014/main" id="{A9DD418A-D6F1-4F6E-8E2B-49A85606BF94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3" name="$C$2">
            <a:extLst>
              <a:ext uri="{FF2B5EF4-FFF2-40B4-BE49-F238E27FC236}">
                <a16:creationId xmlns:a16="http://schemas.microsoft.com/office/drawing/2014/main" id="{162A0FCB-7CA3-4DDF-AF77-130770259734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4" name="$C$2">
            <a:extLst>
              <a:ext uri="{FF2B5EF4-FFF2-40B4-BE49-F238E27FC236}">
                <a16:creationId xmlns:a16="http://schemas.microsoft.com/office/drawing/2014/main" id="{A4AD7344-F88F-4BF2-A159-AA6EB3F3991F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5" name="$C$2">
            <a:extLst>
              <a:ext uri="{FF2B5EF4-FFF2-40B4-BE49-F238E27FC236}">
                <a16:creationId xmlns:a16="http://schemas.microsoft.com/office/drawing/2014/main" id="{A3517D2A-98E7-4FDA-8969-915A9929D96D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6" name="$C$2">
            <a:extLst>
              <a:ext uri="{FF2B5EF4-FFF2-40B4-BE49-F238E27FC236}">
                <a16:creationId xmlns:a16="http://schemas.microsoft.com/office/drawing/2014/main" id="{7648E83A-D068-4319-973C-AC197EFEAFF8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7" name="$C$2">
            <a:extLst>
              <a:ext uri="{FF2B5EF4-FFF2-40B4-BE49-F238E27FC236}">
                <a16:creationId xmlns:a16="http://schemas.microsoft.com/office/drawing/2014/main" id="{34862D2F-7FFA-42A9-AE6B-4A7AF5EC0867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8" name="$C$2">
            <a:extLst>
              <a:ext uri="{FF2B5EF4-FFF2-40B4-BE49-F238E27FC236}">
                <a16:creationId xmlns:a16="http://schemas.microsoft.com/office/drawing/2014/main" id="{3BDE06FB-A301-4676-9FBA-BCB0B83BCB42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9" name="$C$2">
            <a:extLst>
              <a:ext uri="{FF2B5EF4-FFF2-40B4-BE49-F238E27FC236}">
                <a16:creationId xmlns:a16="http://schemas.microsoft.com/office/drawing/2014/main" id="{34C127D7-EFA8-46BF-87A6-A5F9423CA3A3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0" name="$C$2">
            <a:extLst>
              <a:ext uri="{FF2B5EF4-FFF2-40B4-BE49-F238E27FC236}">
                <a16:creationId xmlns:a16="http://schemas.microsoft.com/office/drawing/2014/main" id="{1F34EDC8-647C-48EC-9C7E-5508BD2A8ED5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1" name="$C$2">
            <a:extLst>
              <a:ext uri="{FF2B5EF4-FFF2-40B4-BE49-F238E27FC236}">
                <a16:creationId xmlns:a16="http://schemas.microsoft.com/office/drawing/2014/main" id="{7DC213BB-CA34-47F8-988B-E68296932077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2" name="$C$2">
            <a:extLst>
              <a:ext uri="{FF2B5EF4-FFF2-40B4-BE49-F238E27FC236}">
                <a16:creationId xmlns:a16="http://schemas.microsoft.com/office/drawing/2014/main" id="{1D3B97D2-22B0-4374-98AA-DF0B6818B8CA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3" name="$C$2">
            <a:extLst>
              <a:ext uri="{FF2B5EF4-FFF2-40B4-BE49-F238E27FC236}">
                <a16:creationId xmlns:a16="http://schemas.microsoft.com/office/drawing/2014/main" id="{EF445CC4-EE96-42B5-9DFA-13562C5BEDCE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4" name="$C$2">
            <a:extLst>
              <a:ext uri="{FF2B5EF4-FFF2-40B4-BE49-F238E27FC236}">
                <a16:creationId xmlns:a16="http://schemas.microsoft.com/office/drawing/2014/main" id="{5C882536-B353-4686-AEC9-0AE796C16A7B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5" name="$C$2">
            <a:extLst>
              <a:ext uri="{FF2B5EF4-FFF2-40B4-BE49-F238E27FC236}">
                <a16:creationId xmlns:a16="http://schemas.microsoft.com/office/drawing/2014/main" id="{AC66BEF3-5105-4CC9-9078-0B48EE8D7102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6" name="$C$2">
            <a:extLst>
              <a:ext uri="{FF2B5EF4-FFF2-40B4-BE49-F238E27FC236}">
                <a16:creationId xmlns:a16="http://schemas.microsoft.com/office/drawing/2014/main" id="{F2F6321A-214C-485E-8E90-05AD78111B21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7" name="$C$2">
            <a:extLst>
              <a:ext uri="{FF2B5EF4-FFF2-40B4-BE49-F238E27FC236}">
                <a16:creationId xmlns:a16="http://schemas.microsoft.com/office/drawing/2014/main" id="{342273E1-F176-49EB-9EC4-3205DD9556AB}"/>
              </a:ext>
            </a:extLst>
          </xdr:cNvPr>
          <xdr:cNvSpPr/>
        </xdr:nvSpPr>
        <xdr:spPr>
          <a:xfrm>
            <a:off x="76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8" name="$C$2">
            <a:extLst>
              <a:ext uri="{FF2B5EF4-FFF2-40B4-BE49-F238E27FC236}">
                <a16:creationId xmlns:a16="http://schemas.microsoft.com/office/drawing/2014/main" id="{9FD02D4F-F52A-4C16-965B-5AF555D21578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9" name="$C$2">
            <a:extLst>
              <a:ext uri="{FF2B5EF4-FFF2-40B4-BE49-F238E27FC236}">
                <a16:creationId xmlns:a16="http://schemas.microsoft.com/office/drawing/2014/main" id="{ED04AD1A-A25F-4794-BF40-6E73D28CBBE3}"/>
              </a:ext>
            </a:extLst>
          </xdr:cNvPr>
          <xdr:cNvSpPr/>
        </xdr:nvSpPr>
        <xdr:spPr>
          <a:xfrm>
            <a:off x="127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0" name="$C$2">
            <a:extLst>
              <a:ext uri="{FF2B5EF4-FFF2-40B4-BE49-F238E27FC236}">
                <a16:creationId xmlns:a16="http://schemas.microsoft.com/office/drawing/2014/main" id="{AD8C9541-5DE9-4A80-B176-21FA4683ADB7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1" name="$C$2">
            <a:extLst>
              <a:ext uri="{FF2B5EF4-FFF2-40B4-BE49-F238E27FC236}">
                <a16:creationId xmlns:a16="http://schemas.microsoft.com/office/drawing/2014/main" id="{F5CAFD19-2692-4978-80A4-133DB048080B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2" name="$C$2">
            <a:extLst>
              <a:ext uri="{FF2B5EF4-FFF2-40B4-BE49-F238E27FC236}">
                <a16:creationId xmlns:a16="http://schemas.microsoft.com/office/drawing/2014/main" id="{42A4FFBD-BC22-41C5-A396-0A35DAD4752F}"/>
              </a:ext>
            </a:extLst>
          </xdr:cNvPr>
          <xdr:cNvSpPr/>
        </xdr:nvSpPr>
        <xdr:spPr>
          <a:xfrm>
            <a:off x="165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3" name="$C$2">
            <a:extLst>
              <a:ext uri="{FF2B5EF4-FFF2-40B4-BE49-F238E27FC236}">
                <a16:creationId xmlns:a16="http://schemas.microsoft.com/office/drawing/2014/main" id="{4F775ED5-B620-4672-90FA-742C7F65F3F9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4" name="$C$2">
            <a:extLst>
              <a:ext uri="{FF2B5EF4-FFF2-40B4-BE49-F238E27FC236}">
                <a16:creationId xmlns:a16="http://schemas.microsoft.com/office/drawing/2014/main" id="{1B414AA8-F27F-402F-86E3-D92C2F1BA0C5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5" name="$C$2">
            <a:extLst>
              <a:ext uri="{FF2B5EF4-FFF2-40B4-BE49-F238E27FC236}">
                <a16:creationId xmlns:a16="http://schemas.microsoft.com/office/drawing/2014/main" id="{16D5E2B6-3670-4C5D-9CA6-7D069CF729BF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6" name="$C$2">
            <a:extLst>
              <a:ext uri="{FF2B5EF4-FFF2-40B4-BE49-F238E27FC236}">
                <a16:creationId xmlns:a16="http://schemas.microsoft.com/office/drawing/2014/main" id="{E8026F5C-55B1-41C2-88F9-486DF1EB6F44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7" name="$C$2">
            <a:extLst>
              <a:ext uri="{FF2B5EF4-FFF2-40B4-BE49-F238E27FC236}">
                <a16:creationId xmlns:a16="http://schemas.microsoft.com/office/drawing/2014/main" id="{4402E063-572C-4A34-9569-D38F711E8310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8" name="$C$2">
            <a:extLst>
              <a:ext uri="{FF2B5EF4-FFF2-40B4-BE49-F238E27FC236}">
                <a16:creationId xmlns:a16="http://schemas.microsoft.com/office/drawing/2014/main" id="{87F9C2F4-CF40-407B-BD9A-B92CF136772F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9" name="$C$2">
            <a:extLst>
              <a:ext uri="{FF2B5EF4-FFF2-40B4-BE49-F238E27FC236}">
                <a16:creationId xmlns:a16="http://schemas.microsoft.com/office/drawing/2014/main" id="{FA4B6B68-4D4B-42C6-9CCE-CF88B78B824E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0" name="$C$2">
            <a:extLst>
              <a:ext uri="{FF2B5EF4-FFF2-40B4-BE49-F238E27FC236}">
                <a16:creationId xmlns:a16="http://schemas.microsoft.com/office/drawing/2014/main" id="{8553FC4C-4F0A-43EB-93E1-077A0F330DEE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1" name="$C$2">
            <a:extLst>
              <a:ext uri="{FF2B5EF4-FFF2-40B4-BE49-F238E27FC236}">
                <a16:creationId xmlns:a16="http://schemas.microsoft.com/office/drawing/2014/main" id="{0D94A6EC-CFE8-4A41-85CA-D717EE1FBFEA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2" name="$C$2">
            <a:extLst>
              <a:ext uri="{FF2B5EF4-FFF2-40B4-BE49-F238E27FC236}">
                <a16:creationId xmlns:a16="http://schemas.microsoft.com/office/drawing/2014/main" id="{55AA4AA3-8578-466D-8428-0A44BEE7F737}"/>
              </a:ext>
            </a:extLst>
          </xdr:cNvPr>
          <xdr:cNvSpPr/>
        </xdr:nvSpPr>
        <xdr:spPr>
          <a:xfrm>
            <a:off x="1270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3" name="$C$2">
            <a:extLst>
              <a:ext uri="{FF2B5EF4-FFF2-40B4-BE49-F238E27FC236}">
                <a16:creationId xmlns:a16="http://schemas.microsoft.com/office/drawing/2014/main" id="{90C45C9C-BFD8-46E1-A38C-755B190988F5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4" name="$C$2">
            <a:extLst>
              <a:ext uri="{FF2B5EF4-FFF2-40B4-BE49-F238E27FC236}">
                <a16:creationId xmlns:a16="http://schemas.microsoft.com/office/drawing/2014/main" id="{B15036C6-87A1-430B-8996-23EEAF47C20E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5" name="$C$2">
            <a:extLst>
              <a:ext uri="{FF2B5EF4-FFF2-40B4-BE49-F238E27FC236}">
                <a16:creationId xmlns:a16="http://schemas.microsoft.com/office/drawing/2014/main" id="{2BE25DE8-150F-492E-B1D7-00A27C3B16D0}"/>
              </a:ext>
            </a:extLst>
          </xdr:cNvPr>
          <xdr:cNvSpPr/>
        </xdr:nvSpPr>
        <xdr:spPr>
          <a:xfrm>
            <a:off x="190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6" name="$C$2">
            <a:extLst>
              <a:ext uri="{FF2B5EF4-FFF2-40B4-BE49-F238E27FC236}">
                <a16:creationId xmlns:a16="http://schemas.microsoft.com/office/drawing/2014/main" id="{E4DC5ED6-BFE9-4717-9FA8-BA5E3EC4ADA5}"/>
              </a:ext>
            </a:extLst>
          </xdr:cNvPr>
          <xdr:cNvSpPr/>
        </xdr:nvSpPr>
        <xdr:spPr>
          <a:xfrm>
            <a:off x="203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7" name="$C$2">
            <a:extLst>
              <a:ext uri="{FF2B5EF4-FFF2-40B4-BE49-F238E27FC236}">
                <a16:creationId xmlns:a16="http://schemas.microsoft.com/office/drawing/2014/main" id="{200E25ED-DF24-4E3C-A181-78EDCF82DD61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8" name="$C$2">
            <a:extLst>
              <a:ext uri="{FF2B5EF4-FFF2-40B4-BE49-F238E27FC236}">
                <a16:creationId xmlns:a16="http://schemas.microsoft.com/office/drawing/2014/main" id="{26098C66-FD16-43FA-9E3D-A0B58CB6F9F3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9" name="$C$2">
            <a:extLst>
              <a:ext uri="{FF2B5EF4-FFF2-40B4-BE49-F238E27FC236}">
                <a16:creationId xmlns:a16="http://schemas.microsoft.com/office/drawing/2014/main" id="{3BF4BBBE-36A1-4BD2-BCC3-E3404DD7BCEE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0" name="$C$2">
            <a:extLst>
              <a:ext uri="{FF2B5EF4-FFF2-40B4-BE49-F238E27FC236}">
                <a16:creationId xmlns:a16="http://schemas.microsoft.com/office/drawing/2014/main" id="{0CD82167-28B8-4C06-BBCE-3AA8D7010D43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1" name="$C$2">
            <a:extLst>
              <a:ext uri="{FF2B5EF4-FFF2-40B4-BE49-F238E27FC236}">
                <a16:creationId xmlns:a16="http://schemas.microsoft.com/office/drawing/2014/main" id="{71E411B4-A88F-42E3-BC87-2850ABBFE020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2" name="$C$2">
            <a:extLst>
              <a:ext uri="{FF2B5EF4-FFF2-40B4-BE49-F238E27FC236}">
                <a16:creationId xmlns:a16="http://schemas.microsoft.com/office/drawing/2014/main" id="{BF7F7D0D-DF60-42D2-9A33-93FA7C0E4F5D}"/>
              </a:ext>
            </a:extLst>
          </xdr:cNvPr>
          <xdr:cNvSpPr/>
        </xdr:nvSpPr>
        <xdr:spPr>
          <a:xfrm>
            <a:off x="76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3" name="$C$2">
            <a:extLst>
              <a:ext uri="{FF2B5EF4-FFF2-40B4-BE49-F238E27FC236}">
                <a16:creationId xmlns:a16="http://schemas.microsoft.com/office/drawing/2014/main" id="{BAADF499-302E-4C38-91B7-D0D22E8907B4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4" name="$C$2">
            <a:extLst>
              <a:ext uri="{FF2B5EF4-FFF2-40B4-BE49-F238E27FC236}">
                <a16:creationId xmlns:a16="http://schemas.microsoft.com/office/drawing/2014/main" id="{B81C7168-77BE-4277-96CC-86E4DB23E84D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5" name="$C$2">
            <a:extLst>
              <a:ext uri="{FF2B5EF4-FFF2-40B4-BE49-F238E27FC236}">
                <a16:creationId xmlns:a16="http://schemas.microsoft.com/office/drawing/2014/main" id="{91BC60DC-1C79-4B34-AA8D-44B63408C8B2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6" name="$C$2">
            <a:extLst>
              <a:ext uri="{FF2B5EF4-FFF2-40B4-BE49-F238E27FC236}">
                <a16:creationId xmlns:a16="http://schemas.microsoft.com/office/drawing/2014/main" id="{4D544AAD-80A1-4939-A4D3-F6A7CC440357}"/>
              </a:ext>
            </a:extLst>
          </xdr:cNvPr>
          <xdr:cNvSpPr/>
        </xdr:nvSpPr>
        <xdr:spPr>
          <a:xfrm>
            <a:off x="215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7" name="$C$2">
            <a:extLst>
              <a:ext uri="{FF2B5EF4-FFF2-40B4-BE49-F238E27FC236}">
                <a16:creationId xmlns:a16="http://schemas.microsoft.com/office/drawing/2014/main" id="{8740E9E7-20F9-41A7-A70B-51A2C35814A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8" name="$C$2">
            <a:extLst>
              <a:ext uri="{FF2B5EF4-FFF2-40B4-BE49-F238E27FC236}">
                <a16:creationId xmlns:a16="http://schemas.microsoft.com/office/drawing/2014/main" id="{8329667C-094F-41E4-A26F-DDC35AA41F72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9" name="$C$2">
            <a:extLst>
              <a:ext uri="{FF2B5EF4-FFF2-40B4-BE49-F238E27FC236}">
                <a16:creationId xmlns:a16="http://schemas.microsoft.com/office/drawing/2014/main" id="{3C964910-659F-40B0-ACA2-E3727FC2DF25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0" name="$C$2">
            <a:extLst>
              <a:ext uri="{FF2B5EF4-FFF2-40B4-BE49-F238E27FC236}">
                <a16:creationId xmlns:a16="http://schemas.microsoft.com/office/drawing/2014/main" id="{D91EDE82-6785-4315-8DE2-0FD89AE2B4B1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1" name="$C$2">
            <a:extLst>
              <a:ext uri="{FF2B5EF4-FFF2-40B4-BE49-F238E27FC236}">
                <a16:creationId xmlns:a16="http://schemas.microsoft.com/office/drawing/2014/main" id="{621E598B-8F2D-4DCB-803E-CB73B69D14D1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2" name="$C$2">
            <a:extLst>
              <a:ext uri="{FF2B5EF4-FFF2-40B4-BE49-F238E27FC236}">
                <a16:creationId xmlns:a16="http://schemas.microsoft.com/office/drawing/2014/main" id="{725DF5F4-E9C3-4C86-BB4A-3FD68E09AD30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3" name="$C$2">
            <a:extLst>
              <a:ext uri="{FF2B5EF4-FFF2-40B4-BE49-F238E27FC236}">
                <a16:creationId xmlns:a16="http://schemas.microsoft.com/office/drawing/2014/main" id="{B0127156-FC07-438A-BDF9-1D8050154DB2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4" name="$C$2">
            <a:extLst>
              <a:ext uri="{FF2B5EF4-FFF2-40B4-BE49-F238E27FC236}">
                <a16:creationId xmlns:a16="http://schemas.microsoft.com/office/drawing/2014/main" id="{FE7E5494-CCEC-495D-A2FB-F2B75E438B1C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5" name="$C$2">
            <a:extLst>
              <a:ext uri="{FF2B5EF4-FFF2-40B4-BE49-F238E27FC236}">
                <a16:creationId xmlns:a16="http://schemas.microsoft.com/office/drawing/2014/main" id="{10A58E88-33C4-4CF0-9883-0B536D62C5B5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6" name="$C$2">
            <a:extLst>
              <a:ext uri="{FF2B5EF4-FFF2-40B4-BE49-F238E27FC236}">
                <a16:creationId xmlns:a16="http://schemas.microsoft.com/office/drawing/2014/main" id="{628A5F44-95DB-4DAE-88D1-0F15E7390DF2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7" name="$C$2">
            <a:extLst>
              <a:ext uri="{FF2B5EF4-FFF2-40B4-BE49-F238E27FC236}">
                <a16:creationId xmlns:a16="http://schemas.microsoft.com/office/drawing/2014/main" id="{0B2CA6C5-3B77-4931-80DD-944AF31F1ADE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8" name="$C$2">
            <a:extLst>
              <a:ext uri="{FF2B5EF4-FFF2-40B4-BE49-F238E27FC236}">
                <a16:creationId xmlns:a16="http://schemas.microsoft.com/office/drawing/2014/main" id="{E9A5EEB1-2E2B-48D5-A5B4-D5570CDA649D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9" name="$C$2">
            <a:extLst>
              <a:ext uri="{FF2B5EF4-FFF2-40B4-BE49-F238E27FC236}">
                <a16:creationId xmlns:a16="http://schemas.microsoft.com/office/drawing/2014/main" id="{1FC760D8-FFF5-4BF3-8F1E-C197309D1EE5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0" name="$C$2">
            <a:extLst>
              <a:ext uri="{FF2B5EF4-FFF2-40B4-BE49-F238E27FC236}">
                <a16:creationId xmlns:a16="http://schemas.microsoft.com/office/drawing/2014/main" id="{1350F9A5-2C2A-480F-B2FD-A6C54FD95066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1" name="$C$2">
            <a:extLst>
              <a:ext uri="{FF2B5EF4-FFF2-40B4-BE49-F238E27FC236}">
                <a16:creationId xmlns:a16="http://schemas.microsoft.com/office/drawing/2014/main" id="{CF584575-04FF-4970-9E84-7895AC606136}"/>
              </a:ext>
            </a:extLst>
          </xdr:cNvPr>
          <xdr:cNvSpPr/>
        </xdr:nvSpPr>
        <xdr:spPr>
          <a:xfrm>
            <a:off x="76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2" name="$C$2">
            <a:extLst>
              <a:ext uri="{FF2B5EF4-FFF2-40B4-BE49-F238E27FC236}">
                <a16:creationId xmlns:a16="http://schemas.microsoft.com/office/drawing/2014/main" id="{4865A7FB-CB23-49E1-A9CE-1EAE757BBA0D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3" name="$C$2">
            <a:extLst>
              <a:ext uri="{FF2B5EF4-FFF2-40B4-BE49-F238E27FC236}">
                <a16:creationId xmlns:a16="http://schemas.microsoft.com/office/drawing/2014/main" id="{B22E7D3A-74D0-4B80-BE11-2949FC2CCE0D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4" name="$C$2">
            <a:extLst>
              <a:ext uri="{FF2B5EF4-FFF2-40B4-BE49-F238E27FC236}">
                <a16:creationId xmlns:a16="http://schemas.microsoft.com/office/drawing/2014/main" id="{DE5886CE-BECE-4DD6-B13A-AAFBCBB491ED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5" name="$C$2">
            <a:extLst>
              <a:ext uri="{FF2B5EF4-FFF2-40B4-BE49-F238E27FC236}">
                <a16:creationId xmlns:a16="http://schemas.microsoft.com/office/drawing/2014/main" id="{3C13140D-2AF0-43A6-8714-2AF8218E8EB3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6" name="$C$2">
            <a:extLst>
              <a:ext uri="{FF2B5EF4-FFF2-40B4-BE49-F238E27FC236}">
                <a16:creationId xmlns:a16="http://schemas.microsoft.com/office/drawing/2014/main" id="{EF12C4A0-E972-495A-B0CF-5E7F5C5AF8D3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7" name="$C$2">
            <a:extLst>
              <a:ext uri="{FF2B5EF4-FFF2-40B4-BE49-F238E27FC236}">
                <a16:creationId xmlns:a16="http://schemas.microsoft.com/office/drawing/2014/main" id="{B27E692D-87A9-4C70-93C9-51C74C12ED49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8" name="$C$2">
            <a:extLst>
              <a:ext uri="{FF2B5EF4-FFF2-40B4-BE49-F238E27FC236}">
                <a16:creationId xmlns:a16="http://schemas.microsoft.com/office/drawing/2014/main" id="{97F86FEA-EC17-48CD-8CBD-518DBEE006A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9" name="$C$2">
            <a:extLst>
              <a:ext uri="{FF2B5EF4-FFF2-40B4-BE49-F238E27FC236}">
                <a16:creationId xmlns:a16="http://schemas.microsoft.com/office/drawing/2014/main" id="{1802FB6A-04E0-4A2D-BFA0-E0E91549E59D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40" name="$C$2">
            <a:extLst>
              <a:ext uri="{FF2B5EF4-FFF2-40B4-BE49-F238E27FC236}">
                <a16:creationId xmlns:a16="http://schemas.microsoft.com/office/drawing/2014/main" id="{4BD4C690-817A-424D-9688-1C998BA7546E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41" name="$C$2">
            <a:extLst>
              <a:ext uri="{FF2B5EF4-FFF2-40B4-BE49-F238E27FC236}">
                <a16:creationId xmlns:a16="http://schemas.microsoft.com/office/drawing/2014/main" id="{AA6BDF94-2BA4-4174-8BF0-376D36F6A507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42" name="$C$2">
            <a:extLst>
              <a:ext uri="{FF2B5EF4-FFF2-40B4-BE49-F238E27FC236}">
                <a16:creationId xmlns:a16="http://schemas.microsoft.com/office/drawing/2014/main" id="{01B96910-AB9C-436F-9ABF-72BD26CD537C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43" name="$C$2">
            <a:extLst>
              <a:ext uri="{FF2B5EF4-FFF2-40B4-BE49-F238E27FC236}">
                <a16:creationId xmlns:a16="http://schemas.microsoft.com/office/drawing/2014/main" id="{7D719A6B-057A-4CCF-AA29-A44FC7FEE535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44" name="$C$2">
            <a:extLst>
              <a:ext uri="{FF2B5EF4-FFF2-40B4-BE49-F238E27FC236}">
                <a16:creationId xmlns:a16="http://schemas.microsoft.com/office/drawing/2014/main" id="{265A36FF-A08B-48C5-BEEC-D66858CC7577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45" name="$C$2">
            <a:extLst>
              <a:ext uri="{FF2B5EF4-FFF2-40B4-BE49-F238E27FC236}">
                <a16:creationId xmlns:a16="http://schemas.microsoft.com/office/drawing/2014/main" id="{5339BCCC-656F-426F-A6A8-150ABDE14370}"/>
              </a:ext>
            </a:extLst>
          </xdr:cNvPr>
          <xdr:cNvSpPr/>
        </xdr:nvSpPr>
        <xdr:spPr>
          <a:xfrm>
            <a:off x="177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46" name="$C$2">
            <a:extLst>
              <a:ext uri="{FF2B5EF4-FFF2-40B4-BE49-F238E27FC236}">
                <a16:creationId xmlns:a16="http://schemas.microsoft.com/office/drawing/2014/main" id="{182A5CC8-9655-4556-ACEC-1181EC493C4A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47" name="$C$2">
            <a:extLst>
              <a:ext uri="{FF2B5EF4-FFF2-40B4-BE49-F238E27FC236}">
                <a16:creationId xmlns:a16="http://schemas.microsoft.com/office/drawing/2014/main" id="{08870D14-FFCC-489C-9D08-43FBF22D974E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48" name="$C$2">
            <a:extLst>
              <a:ext uri="{FF2B5EF4-FFF2-40B4-BE49-F238E27FC236}">
                <a16:creationId xmlns:a16="http://schemas.microsoft.com/office/drawing/2014/main" id="{B7B1DC1E-86D0-4A10-998D-9614BECFEC82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2</xdr:col>
      <xdr:colOff>44395</xdr:colOff>
      <xdr:row>0</xdr:row>
      <xdr:rowOff>219655</xdr:rowOff>
    </xdr:from>
    <xdr:to>
      <xdr:col>2</xdr:col>
      <xdr:colOff>1030025</xdr:colOff>
      <xdr:row>0</xdr:row>
      <xdr:rowOff>1205285</xdr:rowOff>
    </xdr:to>
    <xdr:grpSp>
      <xdr:nvGrpSpPr>
        <xdr:cNvPr id="42766" name="$C$1" descr="QuickResponse barcode, level H, version 1, mode digit, 21x21 cells" title="123456789">
          <a:extLst>
            <a:ext uri="{FF2B5EF4-FFF2-40B4-BE49-F238E27FC236}">
              <a16:creationId xmlns:a16="http://schemas.microsoft.com/office/drawing/2014/main" id="{B94CFD12-77BD-4AC8-99B2-99CAEDC6440D}"/>
            </a:ext>
          </a:extLst>
        </xdr:cNvPr>
        <xdr:cNvGrpSpPr>
          <a:grpSpLocks noChangeAspect="1"/>
        </xdr:cNvGrpSpPr>
      </xdr:nvGrpSpPr>
      <xdr:grpSpPr>
        <a:xfrm>
          <a:off x="3420055" y="219655"/>
          <a:ext cx="985630" cy="985630"/>
          <a:chOff x="0" y="0"/>
          <a:chExt cx="266700" cy="266700"/>
        </a:xfrm>
        <a:solidFill>
          <a:srgbClr val="000000"/>
        </a:solidFill>
      </xdr:grpSpPr>
      <xdr:sp macro="" textlink="">
        <xdr:nvSpPr>
          <xdr:cNvPr id="42550" name="$C$1">
            <a:extLst>
              <a:ext uri="{FF2B5EF4-FFF2-40B4-BE49-F238E27FC236}">
                <a16:creationId xmlns:a16="http://schemas.microsoft.com/office/drawing/2014/main" id="{B1200DE5-1934-42ED-AC55-73A0A133D983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51" name="$C$1">
            <a:extLst>
              <a:ext uri="{FF2B5EF4-FFF2-40B4-BE49-F238E27FC236}">
                <a16:creationId xmlns:a16="http://schemas.microsoft.com/office/drawing/2014/main" id="{D85BA599-E002-4F27-8608-BF5F5BA7AE0C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52" name="$C$1">
            <a:extLst>
              <a:ext uri="{FF2B5EF4-FFF2-40B4-BE49-F238E27FC236}">
                <a16:creationId xmlns:a16="http://schemas.microsoft.com/office/drawing/2014/main" id="{9473639E-23D6-4526-BE76-40B73045AF2C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53" name="$C$1">
            <a:extLst>
              <a:ext uri="{FF2B5EF4-FFF2-40B4-BE49-F238E27FC236}">
                <a16:creationId xmlns:a16="http://schemas.microsoft.com/office/drawing/2014/main" id="{2E30CB36-7944-4E17-84DE-F29FD9DA8CD1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54" name="$C$1">
            <a:extLst>
              <a:ext uri="{FF2B5EF4-FFF2-40B4-BE49-F238E27FC236}">
                <a16:creationId xmlns:a16="http://schemas.microsoft.com/office/drawing/2014/main" id="{359332AF-F5F6-43D8-BD77-A2E7E00976A1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55" name="$C$1">
            <a:extLst>
              <a:ext uri="{FF2B5EF4-FFF2-40B4-BE49-F238E27FC236}">
                <a16:creationId xmlns:a16="http://schemas.microsoft.com/office/drawing/2014/main" id="{A91456B9-16C9-4681-B85C-D94626DFA765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56" name="$C$1">
            <a:extLst>
              <a:ext uri="{FF2B5EF4-FFF2-40B4-BE49-F238E27FC236}">
                <a16:creationId xmlns:a16="http://schemas.microsoft.com/office/drawing/2014/main" id="{2A7AADAD-8D0F-40E1-A2B4-D1E1EBB9EBBA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57" name="$C$1">
            <a:extLst>
              <a:ext uri="{FF2B5EF4-FFF2-40B4-BE49-F238E27FC236}">
                <a16:creationId xmlns:a16="http://schemas.microsoft.com/office/drawing/2014/main" id="{2909E788-68E5-4420-86AC-5737D69F013D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58" name="$C$1">
            <a:extLst>
              <a:ext uri="{FF2B5EF4-FFF2-40B4-BE49-F238E27FC236}">
                <a16:creationId xmlns:a16="http://schemas.microsoft.com/office/drawing/2014/main" id="{3A379347-AE00-468A-986C-4CE6C752537E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59" name="$C$1">
            <a:extLst>
              <a:ext uri="{FF2B5EF4-FFF2-40B4-BE49-F238E27FC236}">
                <a16:creationId xmlns:a16="http://schemas.microsoft.com/office/drawing/2014/main" id="{E76A513B-DCCA-41E9-8687-2A677DD8FD1C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0" name="$C$1">
            <a:extLst>
              <a:ext uri="{FF2B5EF4-FFF2-40B4-BE49-F238E27FC236}">
                <a16:creationId xmlns:a16="http://schemas.microsoft.com/office/drawing/2014/main" id="{5BCB8CCA-965C-4956-9F90-BD58E7E0888B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1" name="$C$1">
            <a:extLst>
              <a:ext uri="{FF2B5EF4-FFF2-40B4-BE49-F238E27FC236}">
                <a16:creationId xmlns:a16="http://schemas.microsoft.com/office/drawing/2014/main" id="{2FD3CC3F-9AEE-47CC-B5F2-CD9EEBD4D337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2" name="$C$1">
            <a:extLst>
              <a:ext uri="{FF2B5EF4-FFF2-40B4-BE49-F238E27FC236}">
                <a16:creationId xmlns:a16="http://schemas.microsoft.com/office/drawing/2014/main" id="{8F6EF584-D31D-440C-8E1B-126A12D649D7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3" name="$C$1">
            <a:extLst>
              <a:ext uri="{FF2B5EF4-FFF2-40B4-BE49-F238E27FC236}">
                <a16:creationId xmlns:a16="http://schemas.microsoft.com/office/drawing/2014/main" id="{3502BAFF-2DE1-4427-BC61-11910E2312AF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4" name="$C$1">
            <a:extLst>
              <a:ext uri="{FF2B5EF4-FFF2-40B4-BE49-F238E27FC236}">
                <a16:creationId xmlns:a16="http://schemas.microsoft.com/office/drawing/2014/main" id="{CC7DA1F9-8226-417B-8DC8-4E30FF83D89B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5" name="$C$1">
            <a:extLst>
              <a:ext uri="{FF2B5EF4-FFF2-40B4-BE49-F238E27FC236}">
                <a16:creationId xmlns:a16="http://schemas.microsoft.com/office/drawing/2014/main" id="{31E023FC-C58E-441B-BD31-00A5CA0C62D2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6" name="$C$1">
            <a:extLst>
              <a:ext uri="{FF2B5EF4-FFF2-40B4-BE49-F238E27FC236}">
                <a16:creationId xmlns:a16="http://schemas.microsoft.com/office/drawing/2014/main" id="{0AB95381-9BC4-4399-8B40-A6EA3F979943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7" name="$C$1">
            <a:extLst>
              <a:ext uri="{FF2B5EF4-FFF2-40B4-BE49-F238E27FC236}">
                <a16:creationId xmlns:a16="http://schemas.microsoft.com/office/drawing/2014/main" id="{A37B2570-198C-42F3-B973-3037B903183D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8" name="$C$1">
            <a:extLst>
              <a:ext uri="{FF2B5EF4-FFF2-40B4-BE49-F238E27FC236}">
                <a16:creationId xmlns:a16="http://schemas.microsoft.com/office/drawing/2014/main" id="{2FFA62CF-4F5B-4198-8CA3-91D1E21EABFF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9" name="$C$1">
            <a:extLst>
              <a:ext uri="{FF2B5EF4-FFF2-40B4-BE49-F238E27FC236}">
                <a16:creationId xmlns:a16="http://schemas.microsoft.com/office/drawing/2014/main" id="{8E45C166-054A-4C6B-96AF-7A4F75B9D0BF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0" name="$C$1">
            <a:extLst>
              <a:ext uri="{FF2B5EF4-FFF2-40B4-BE49-F238E27FC236}">
                <a16:creationId xmlns:a16="http://schemas.microsoft.com/office/drawing/2014/main" id="{186F7A6B-936A-463E-A490-6366C388F58A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1" name="$C$1">
            <a:extLst>
              <a:ext uri="{FF2B5EF4-FFF2-40B4-BE49-F238E27FC236}">
                <a16:creationId xmlns:a16="http://schemas.microsoft.com/office/drawing/2014/main" id="{CC223F2A-E4B9-40CA-A1D9-3BBCC0324470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2" name="$C$1">
            <a:extLst>
              <a:ext uri="{FF2B5EF4-FFF2-40B4-BE49-F238E27FC236}">
                <a16:creationId xmlns:a16="http://schemas.microsoft.com/office/drawing/2014/main" id="{960064BB-239E-4820-9725-495EA515F988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3" name="$C$1">
            <a:extLst>
              <a:ext uri="{FF2B5EF4-FFF2-40B4-BE49-F238E27FC236}">
                <a16:creationId xmlns:a16="http://schemas.microsoft.com/office/drawing/2014/main" id="{7C50F4BD-9EC1-40AD-AACC-E4690193D885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4" name="$C$1">
            <a:extLst>
              <a:ext uri="{FF2B5EF4-FFF2-40B4-BE49-F238E27FC236}">
                <a16:creationId xmlns:a16="http://schemas.microsoft.com/office/drawing/2014/main" id="{00C3228A-0DAC-43DC-8027-DEBD6D795208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5" name="$C$1">
            <a:extLst>
              <a:ext uri="{FF2B5EF4-FFF2-40B4-BE49-F238E27FC236}">
                <a16:creationId xmlns:a16="http://schemas.microsoft.com/office/drawing/2014/main" id="{77E025B6-0DAD-4E7C-8572-E88524EE5D87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6" name="$C$1">
            <a:extLst>
              <a:ext uri="{FF2B5EF4-FFF2-40B4-BE49-F238E27FC236}">
                <a16:creationId xmlns:a16="http://schemas.microsoft.com/office/drawing/2014/main" id="{314C91AA-5CB7-47A1-8D2F-C13002CBC3FD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7" name="$C$1">
            <a:extLst>
              <a:ext uri="{FF2B5EF4-FFF2-40B4-BE49-F238E27FC236}">
                <a16:creationId xmlns:a16="http://schemas.microsoft.com/office/drawing/2014/main" id="{E4128FE3-17D2-44FC-B3BD-F2A4E377E987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8" name="$C$1">
            <a:extLst>
              <a:ext uri="{FF2B5EF4-FFF2-40B4-BE49-F238E27FC236}">
                <a16:creationId xmlns:a16="http://schemas.microsoft.com/office/drawing/2014/main" id="{826BB7C8-A096-4133-A167-767AB7A1D4A6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9" name="$C$1">
            <a:extLst>
              <a:ext uri="{FF2B5EF4-FFF2-40B4-BE49-F238E27FC236}">
                <a16:creationId xmlns:a16="http://schemas.microsoft.com/office/drawing/2014/main" id="{0506BE13-C0BE-487F-A9A2-51F3A3C36BDA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0" name="$C$1">
            <a:extLst>
              <a:ext uri="{FF2B5EF4-FFF2-40B4-BE49-F238E27FC236}">
                <a16:creationId xmlns:a16="http://schemas.microsoft.com/office/drawing/2014/main" id="{458D57BE-136F-4C40-9B32-9EC62C8BEB91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1" name="$C$1">
            <a:extLst>
              <a:ext uri="{FF2B5EF4-FFF2-40B4-BE49-F238E27FC236}">
                <a16:creationId xmlns:a16="http://schemas.microsoft.com/office/drawing/2014/main" id="{C8328135-5EBD-46A1-BA04-A2185565556D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2" name="$C$1">
            <a:extLst>
              <a:ext uri="{FF2B5EF4-FFF2-40B4-BE49-F238E27FC236}">
                <a16:creationId xmlns:a16="http://schemas.microsoft.com/office/drawing/2014/main" id="{69398FF8-01FE-408A-A7FB-BC86A42BD63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3" name="$C$1">
            <a:extLst>
              <a:ext uri="{FF2B5EF4-FFF2-40B4-BE49-F238E27FC236}">
                <a16:creationId xmlns:a16="http://schemas.microsoft.com/office/drawing/2014/main" id="{569282F8-63CE-4DCD-8EA7-5FBE3D598001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4" name="$C$1">
            <a:extLst>
              <a:ext uri="{FF2B5EF4-FFF2-40B4-BE49-F238E27FC236}">
                <a16:creationId xmlns:a16="http://schemas.microsoft.com/office/drawing/2014/main" id="{E675F432-83B7-4BEA-9A8C-814CD84BCC81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5" name="$C$1">
            <a:extLst>
              <a:ext uri="{FF2B5EF4-FFF2-40B4-BE49-F238E27FC236}">
                <a16:creationId xmlns:a16="http://schemas.microsoft.com/office/drawing/2014/main" id="{633B3D55-C8D7-4A91-B6D9-094D74FFBBF7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6" name="$C$1">
            <a:extLst>
              <a:ext uri="{FF2B5EF4-FFF2-40B4-BE49-F238E27FC236}">
                <a16:creationId xmlns:a16="http://schemas.microsoft.com/office/drawing/2014/main" id="{8EC7987A-E820-4DA0-8D41-6579B2CC0301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7" name="$C$1">
            <a:extLst>
              <a:ext uri="{FF2B5EF4-FFF2-40B4-BE49-F238E27FC236}">
                <a16:creationId xmlns:a16="http://schemas.microsoft.com/office/drawing/2014/main" id="{22AAEC6A-8C1F-48DF-81A3-25877859B5FB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8" name="$C$1">
            <a:extLst>
              <a:ext uri="{FF2B5EF4-FFF2-40B4-BE49-F238E27FC236}">
                <a16:creationId xmlns:a16="http://schemas.microsoft.com/office/drawing/2014/main" id="{6573F9E0-DA09-4B9A-B22B-9AA37D466494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9" name="$C$1">
            <a:extLst>
              <a:ext uri="{FF2B5EF4-FFF2-40B4-BE49-F238E27FC236}">
                <a16:creationId xmlns:a16="http://schemas.microsoft.com/office/drawing/2014/main" id="{3820AADC-98B9-4254-97F7-FB203D3E67F1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0" name="$C$1">
            <a:extLst>
              <a:ext uri="{FF2B5EF4-FFF2-40B4-BE49-F238E27FC236}">
                <a16:creationId xmlns:a16="http://schemas.microsoft.com/office/drawing/2014/main" id="{D7219AAD-CC3D-4A1E-8D85-1EBC32F33A1D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1" name="$C$1">
            <a:extLst>
              <a:ext uri="{FF2B5EF4-FFF2-40B4-BE49-F238E27FC236}">
                <a16:creationId xmlns:a16="http://schemas.microsoft.com/office/drawing/2014/main" id="{DF93FA7A-62BB-486F-8F2E-C437D026CB75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2" name="$C$1">
            <a:extLst>
              <a:ext uri="{FF2B5EF4-FFF2-40B4-BE49-F238E27FC236}">
                <a16:creationId xmlns:a16="http://schemas.microsoft.com/office/drawing/2014/main" id="{FDC88CC6-0520-4989-9BCD-5C914B4B05EB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3" name="$C$1">
            <a:extLst>
              <a:ext uri="{FF2B5EF4-FFF2-40B4-BE49-F238E27FC236}">
                <a16:creationId xmlns:a16="http://schemas.microsoft.com/office/drawing/2014/main" id="{E49E1C44-FCBF-45CC-AB61-57F8CFA42E59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4" name="$C$1">
            <a:extLst>
              <a:ext uri="{FF2B5EF4-FFF2-40B4-BE49-F238E27FC236}">
                <a16:creationId xmlns:a16="http://schemas.microsoft.com/office/drawing/2014/main" id="{7E5A5664-C944-4FF1-B2BC-6029D75973E9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5" name="$C$1">
            <a:extLst>
              <a:ext uri="{FF2B5EF4-FFF2-40B4-BE49-F238E27FC236}">
                <a16:creationId xmlns:a16="http://schemas.microsoft.com/office/drawing/2014/main" id="{74E3C406-A8B8-4998-A5F0-5653E24F0E74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6" name="$C$1">
            <a:extLst>
              <a:ext uri="{FF2B5EF4-FFF2-40B4-BE49-F238E27FC236}">
                <a16:creationId xmlns:a16="http://schemas.microsoft.com/office/drawing/2014/main" id="{A1ED281E-46CD-40C5-8502-B0462A164834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7" name="$C$1">
            <a:extLst>
              <a:ext uri="{FF2B5EF4-FFF2-40B4-BE49-F238E27FC236}">
                <a16:creationId xmlns:a16="http://schemas.microsoft.com/office/drawing/2014/main" id="{E90AC9A9-07CD-4928-86C7-EC0835F03EBC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8" name="$C$1">
            <a:extLst>
              <a:ext uri="{FF2B5EF4-FFF2-40B4-BE49-F238E27FC236}">
                <a16:creationId xmlns:a16="http://schemas.microsoft.com/office/drawing/2014/main" id="{9C11FE02-D5C1-48CF-9EC3-736D7DB659A1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9" name="$C$1">
            <a:extLst>
              <a:ext uri="{FF2B5EF4-FFF2-40B4-BE49-F238E27FC236}">
                <a16:creationId xmlns:a16="http://schemas.microsoft.com/office/drawing/2014/main" id="{779D370E-B613-41A3-BD59-AEFBA0B26707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0" name="$C$1">
            <a:extLst>
              <a:ext uri="{FF2B5EF4-FFF2-40B4-BE49-F238E27FC236}">
                <a16:creationId xmlns:a16="http://schemas.microsoft.com/office/drawing/2014/main" id="{850D1E17-327D-4CA5-96ED-ECBE5C92B0D5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1" name="$C$1">
            <a:extLst>
              <a:ext uri="{FF2B5EF4-FFF2-40B4-BE49-F238E27FC236}">
                <a16:creationId xmlns:a16="http://schemas.microsoft.com/office/drawing/2014/main" id="{B6481D70-2147-4FFF-8091-A4C01B7D5EA6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2" name="$C$1">
            <a:extLst>
              <a:ext uri="{FF2B5EF4-FFF2-40B4-BE49-F238E27FC236}">
                <a16:creationId xmlns:a16="http://schemas.microsoft.com/office/drawing/2014/main" id="{F8A4D19C-6C40-44FB-8785-61BB20F82F88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3" name="$C$1">
            <a:extLst>
              <a:ext uri="{FF2B5EF4-FFF2-40B4-BE49-F238E27FC236}">
                <a16:creationId xmlns:a16="http://schemas.microsoft.com/office/drawing/2014/main" id="{B407B5B2-FE8C-48E7-AA60-A3AD32E2281C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4" name="$C$1">
            <a:extLst>
              <a:ext uri="{FF2B5EF4-FFF2-40B4-BE49-F238E27FC236}">
                <a16:creationId xmlns:a16="http://schemas.microsoft.com/office/drawing/2014/main" id="{1C43CC65-C16D-414D-BCDB-7A093B44A9D4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5" name="$C$1">
            <a:extLst>
              <a:ext uri="{FF2B5EF4-FFF2-40B4-BE49-F238E27FC236}">
                <a16:creationId xmlns:a16="http://schemas.microsoft.com/office/drawing/2014/main" id="{8CC69342-D420-409E-9D1E-06D86A7188E3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6" name="$C$1">
            <a:extLst>
              <a:ext uri="{FF2B5EF4-FFF2-40B4-BE49-F238E27FC236}">
                <a16:creationId xmlns:a16="http://schemas.microsoft.com/office/drawing/2014/main" id="{E8315281-48F6-4D29-8778-7D6C4DFDBA1B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7" name="$C$1">
            <a:extLst>
              <a:ext uri="{FF2B5EF4-FFF2-40B4-BE49-F238E27FC236}">
                <a16:creationId xmlns:a16="http://schemas.microsoft.com/office/drawing/2014/main" id="{88EEB485-67A9-4680-8241-812DC5583CB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8" name="$C$1">
            <a:extLst>
              <a:ext uri="{FF2B5EF4-FFF2-40B4-BE49-F238E27FC236}">
                <a16:creationId xmlns:a16="http://schemas.microsoft.com/office/drawing/2014/main" id="{7A33F088-0538-4BE7-AB1D-9899468B9277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9" name="$C$1">
            <a:extLst>
              <a:ext uri="{FF2B5EF4-FFF2-40B4-BE49-F238E27FC236}">
                <a16:creationId xmlns:a16="http://schemas.microsoft.com/office/drawing/2014/main" id="{BE821587-BD90-4680-95DC-BFD5A9ED1157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0" name="$C$1">
            <a:extLst>
              <a:ext uri="{FF2B5EF4-FFF2-40B4-BE49-F238E27FC236}">
                <a16:creationId xmlns:a16="http://schemas.microsoft.com/office/drawing/2014/main" id="{75E2161B-01A2-4E70-8DD1-55F1ABB1594B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1" name="$C$1">
            <a:extLst>
              <a:ext uri="{FF2B5EF4-FFF2-40B4-BE49-F238E27FC236}">
                <a16:creationId xmlns:a16="http://schemas.microsoft.com/office/drawing/2014/main" id="{095A3CAD-B8D2-4098-9C77-75B92CF683E7}"/>
              </a:ext>
            </a:extLst>
          </xdr:cNvPr>
          <xdr:cNvSpPr/>
        </xdr:nvSpPr>
        <xdr:spPr>
          <a:xfrm>
            <a:off x="1270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2" name="$C$1">
            <a:extLst>
              <a:ext uri="{FF2B5EF4-FFF2-40B4-BE49-F238E27FC236}">
                <a16:creationId xmlns:a16="http://schemas.microsoft.com/office/drawing/2014/main" id="{E569FFBD-1B00-4F4C-8B2E-7F89363BAACE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3" name="$C$1">
            <a:extLst>
              <a:ext uri="{FF2B5EF4-FFF2-40B4-BE49-F238E27FC236}">
                <a16:creationId xmlns:a16="http://schemas.microsoft.com/office/drawing/2014/main" id="{A91D344C-738B-42A4-BA1C-2976615E792A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4" name="$C$1">
            <a:extLst>
              <a:ext uri="{FF2B5EF4-FFF2-40B4-BE49-F238E27FC236}">
                <a16:creationId xmlns:a16="http://schemas.microsoft.com/office/drawing/2014/main" id="{B3F024B7-9962-4FB9-B720-8651B54C2B62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5" name="$C$1">
            <a:extLst>
              <a:ext uri="{FF2B5EF4-FFF2-40B4-BE49-F238E27FC236}">
                <a16:creationId xmlns:a16="http://schemas.microsoft.com/office/drawing/2014/main" id="{2CF1E39B-52FF-49B6-8017-D8DF8A1CFCBA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6" name="$C$1">
            <a:extLst>
              <a:ext uri="{FF2B5EF4-FFF2-40B4-BE49-F238E27FC236}">
                <a16:creationId xmlns:a16="http://schemas.microsoft.com/office/drawing/2014/main" id="{CEE88049-9B30-4D2D-845D-BB64B23CC7BB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7" name="$C$1">
            <a:extLst>
              <a:ext uri="{FF2B5EF4-FFF2-40B4-BE49-F238E27FC236}">
                <a16:creationId xmlns:a16="http://schemas.microsoft.com/office/drawing/2014/main" id="{539F3D15-8310-4C99-ABF8-99507BF620CF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8" name="$C$1">
            <a:extLst>
              <a:ext uri="{FF2B5EF4-FFF2-40B4-BE49-F238E27FC236}">
                <a16:creationId xmlns:a16="http://schemas.microsoft.com/office/drawing/2014/main" id="{6CCA9632-5143-4030-8852-45E6C89344DB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9" name="$C$1">
            <a:extLst>
              <a:ext uri="{FF2B5EF4-FFF2-40B4-BE49-F238E27FC236}">
                <a16:creationId xmlns:a16="http://schemas.microsoft.com/office/drawing/2014/main" id="{AA3416D8-DB87-4254-8EA9-C8B928D0D4A1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0" name="$C$1">
            <a:extLst>
              <a:ext uri="{FF2B5EF4-FFF2-40B4-BE49-F238E27FC236}">
                <a16:creationId xmlns:a16="http://schemas.microsoft.com/office/drawing/2014/main" id="{63BD5073-FB78-42FF-BDEF-EBD82DFE72FB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1" name="$C$1">
            <a:extLst>
              <a:ext uri="{FF2B5EF4-FFF2-40B4-BE49-F238E27FC236}">
                <a16:creationId xmlns:a16="http://schemas.microsoft.com/office/drawing/2014/main" id="{2203576A-F8C8-4FBC-8A8A-5244B75B9AC5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2" name="$C$1">
            <a:extLst>
              <a:ext uri="{FF2B5EF4-FFF2-40B4-BE49-F238E27FC236}">
                <a16:creationId xmlns:a16="http://schemas.microsoft.com/office/drawing/2014/main" id="{0089CC80-7951-4C99-B7EA-DFBFE562D53D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3" name="$C$1">
            <a:extLst>
              <a:ext uri="{FF2B5EF4-FFF2-40B4-BE49-F238E27FC236}">
                <a16:creationId xmlns:a16="http://schemas.microsoft.com/office/drawing/2014/main" id="{D84C7764-51DD-48E4-A5CD-D9E076B40EEC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4" name="$C$1">
            <a:extLst>
              <a:ext uri="{FF2B5EF4-FFF2-40B4-BE49-F238E27FC236}">
                <a16:creationId xmlns:a16="http://schemas.microsoft.com/office/drawing/2014/main" id="{4A421ED1-BCA2-4756-A8ED-082984F091E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5" name="$C$1">
            <a:extLst>
              <a:ext uri="{FF2B5EF4-FFF2-40B4-BE49-F238E27FC236}">
                <a16:creationId xmlns:a16="http://schemas.microsoft.com/office/drawing/2014/main" id="{3D7DC774-A7F0-4CA0-9D57-F61F13981B5A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6" name="$C$1">
            <a:extLst>
              <a:ext uri="{FF2B5EF4-FFF2-40B4-BE49-F238E27FC236}">
                <a16:creationId xmlns:a16="http://schemas.microsoft.com/office/drawing/2014/main" id="{2D6DF47C-7E7B-4A6F-9640-04DBCBEE0F69}"/>
              </a:ext>
            </a:extLst>
          </xdr:cNvPr>
          <xdr:cNvSpPr/>
        </xdr:nvSpPr>
        <xdr:spPr>
          <a:xfrm>
            <a:off x="190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7" name="$C$1">
            <a:extLst>
              <a:ext uri="{FF2B5EF4-FFF2-40B4-BE49-F238E27FC236}">
                <a16:creationId xmlns:a16="http://schemas.microsoft.com/office/drawing/2014/main" id="{3F2F6D2E-D661-4172-9A03-8973C73FA81F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8" name="$C$1">
            <a:extLst>
              <a:ext uri="{FF2B5EF4-FFF2-40B4-BE49-F238E27FC236}">
                <a16:creationId xmlns:a16="http://schemas.microsoft.com/office/drawing/2014/main" id="{AAEE70DB-9326-4D0A-87D4-51893A9A703B}"/>
              </a:ext>
            </a:extLst>
          </xdr:cNvPr>
          <xdr:cNvSpPr/>
        </xdr:nvSpPr>
        <xdr:spPr>
          <a:xfrm>
            <a:off x="215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9" name="$C$1">
            <a:extLst>
              <a:ext uri="{FF2B5EF4-FFF2-40B4-BE49-F238E27FC236}">
                <a16:creationId xmlns:a16="http://schemas.microsoft.com/office/drawing/2014/main" id="{06929547-5305-402C-BB06-AD168C5DDB2B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0" name="$C$1">
            <a:extLst>
              <a:ext uri="{FF2B5EF4-FFF2-40B4-BE49-F238E27FC236}">
                <a16:creationId xmlns:a16="http://schemas.microsoft.com/office/drawing/2014/main" id="{9E6F6290-930C-4179-B68E-9AF06FD65FFC}"/>
              </a:ext>
            </a:extLst>
          </xdr:cNvPr>
          <xdr:cNvSpPr/>
        </xdr:nvSpPr>
        <xdr:spPr>
          <a:xfrm>
            <a:off x="2413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1" name="$C$1">
            <a:extLst>
              <a:ext uri="{FF2B5EF4-FFF2-40B4-BE49-F238E27FC236}">
                <a16:creationId xmlns:a16="http://schemas.microsoft.com/office/drawing/2014/main" id="{5BC27C33-FE6F-463D-ABC9-63602EC267ED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2" name="$C$1">
            <a:extLst>
              <a:ext uri="{FF2B5EF4-FFF2-40B4-BE49-F238E27FC236}">
                <a16:creationId xmlns:a16="http://schemas.microsoft.com/office/drawing/2014/main" id="{4B1B803D-6AA9-4147-AEEA-46D812305FBB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3" name="$C$1">
            <a:extLst>
              <a:ext uri="{FF2B5EF4-FFF2-40B4-BE49-F238E27FC236}">
                <a16:creationId xmlns:a16="http://schemas.microsoft.com/office/drawing/2014/main" id="{9712743A-1AE2-4894-9713-7BF71661BB23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4" name="$C$1">
            <a:extLst>
              <a:ext uri="{FF2B5EF4-FFF2-40B4-BE49-F238E27FC236}">
                <a16:creationId xmlns:a16="http://schemas.microsoft.com/office/drawing/2014/main" id="{A0993FC6-7139-40B3-814B-68FC07107DF6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5" name="$C$1">
            <a:extLst>
              <a:ext uri="{FF2B5EF4-FFF2-40B4-BE49-F238E27FC236}">
                <a16:creationId xmlns:a16="http://schemas.microsoft.com/office/drawing/2014/main" id="{B6EF92A8-EEDB-4C44-90A1-C6FF7408D178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6" name="$C$1">
            <a:extLst>
              <a:ext uri="{FF2B5EF4-FFF2-40B4-BE49-F238E27FC236}">
                <a16:creationId xmlns:a16="http://schemas.microsoft.com/office/drawing/2014/main" id="{9F4E93FA-E18D-4A8A-BA60-2D3AA6AAECA1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7" name="$C$1">
            <a:extLst>
              <a:ext uri="{FF2B5EF4-FFF2-40B4-BE49-F238E27FC236}">
                <a16:creationId xmlns:a16="http://schemas.microsoft.com/office/drawing/2014/main" id="{39BD70D4-AC75-45E9-AE06-0D925BCBC155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8" name="$C$1">
            <a:extLst>
              <a:ext uri="{FF2B5EF4-FFF2-40B4-BE49-F238E27FC236}">
                <a16:creationId xmlns:a16="http://schemas.microsoft.com/office/drawing/2014/main" id="{7D130009-A90F-426C-9CC1-B47DAE5DE3C7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9" name="$C$1">
            <a:extLst>
              <a:ext uri="{FF2B5EF4-FFF2-40B4-BE49-F238E27FC236}">
                <a16:creationId xmlns:a16="http://schemas.microsoft.com/office/drawing/2014/main" id="{96B0408F-52E3-48BA-B402-B9F91E9014D4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0" name="$C$1">
            <a:extLst>
              <a:ext uri="{FF2B5EF4-FFF2-40B4-BE49-F238E27FC236}">
                <a16:creationId xmlns:a16="http://schemas.microsoft.com/office/drawing/2014/main" id="{A991CA9E-D497-4FB3-9B5A-2BFB829DF13A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1" name="$C$1">
            <a:extLst>
              <a:ext uri="{FF2B5EF4-FFF2-40B4-BE49-F238E27FC236}">
                <a16:creationId xmlns:a16="http://schemas.microsoft.com/office/drawing/2014/main" id="{82062063-34E6-4C28-AB49-FCDC8C29A544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2" name="$C$1">
            <a:extLst>
              <a:ext uri="{FF2B5EF4-FFF2-40B4-BE49-F238E27FC236}">
                <a16:creationId xmlns:a16="http://schemas.microsoft.com/office/drawing/2014/main" id="{422FB63D-3006-4A48-93E4-FCBBE6A62780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3" name="$C$1">
            <a:extLst>
              <a:ext uri="{FF2B5EF4-FFF2-40B4-BE49-F238E27FC236}">
                <a16:creationId xmlns:a16="http://schemas.microsoft.com/office/drawing/2014/main" id="{A0DF6DAF-2E7C-43E0-9DBE-A36287437D4F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4" name="$C$1">
            <a:extLst>
              <a:ext uri="{FF2B5EF4-FFF2-40B4-BE49-F238E27FC236}">
                <a16:creationId xmlns:a16="http://schemas.microsoft.com/office/drawing/2014/main" id="{A5F6F08E-63F7-4D4F-9A27-6AE082AB839C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5" name="$C$1">
            <a:extLst>
              <a:ext uri="{FF2B5EF4-FFF2-40B4-BE49-F238E27FC236}">
                <a16:creationId xmlns:a16="http://schemas.microsoft.com/office/drawing/2014/main" id="{90233529-B87C-4380-83FE-B2714C50EF46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6" name="$C$1">
            <a:extLst>
              <a:ext uri="{FF2B5EF4-FFF2-40B4-BE49-F238E27FC236}">
                <a16:creationId xmlns:a16="http://schemas.microsoft.com/office/drawing/2014/main" id="{7987674C-BF9B-4E93-BD20-216D4F678DD5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7" name="$C$1">
            <a:extLst>
              <a:ext uri="{FF2B5EF4-FFF2-40B4-BE49-F238E27FC236}">
                <a16:creationId xmlns:a16="http://schemas.microsoft.com/office/drawing/2014/main" id="{5A98550C-4AD6-4676-8DCA-6FEB2B1C51E4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8" name="$C$1">
            <a:extLst>
              <a:ext uri="{FF2B5EF4-FFF2-40B4-BE49-F238E27FC236}">
                <a16:creationId xmlns:a16="http://schemas.microsoft.com/office/drawing/2014/main" id="{66E38E35-1B7F-4CB9-8DE6-DC467F0D8B9D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9" name="$C$1">
            <a:extLst>
              <a:ext uri="{FF2B5EF4-FFF2-40B4-BE49-F238E27FC236}">
                <a16:creationId xmlns:a16="http://schemas.microsoft.com/office/drawing/2014/main" id="{8CCC78D8-F779-46DE-887B-69E62C40C47E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0" name="$C$1">
            <a:extLst>
              <a:ext uri="{FF2B5EF4-FFF2-40B4-BE49-F238E27FC236}">
                <a16:creationId xmlns:a16="http://schemas.microsoft.com/office/drawing/2014/main" id="{0AABE54A-3109-4E74-BDA7-949AFA5480F6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1" name="$C$1">
            <a:extLst>
              <a:ext uri="{FF2B5EF4-FFF2-40B4-BE49-F238E27FC236}">
                <a16:creationId xmlns:a16="http://schemas.microsoft.com/office/drawing/2014/main" id="{12B65130-8A77-4E99-A068-D6E47B66F059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2" name="$C$1">
            <a:extLst>
              <a:ext uri="{FF2B5EF4-FFF2-40B4-BE49-F238E27FC236}">
                <a16:creationId xmlns:a16="http://schemas.microsoft.com/office/drawing/2014/main" id="{AD5ABFF4-9300-4EB9-9CDF-41ADCC7D3E1E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3" name="$C$1">
            <a:extLst>
              <a:ext uri="{FF2B5EF4-FFF2-40B4-BE49-F238E27FC236}">
                <a16:creationId xmlns:a16="http://schemas.microsoft.com/office/drawing/2014/main" id="{D4D748F3-922D-479E-B821-9AD031443BCF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4" name="$C$1">
            <a:extLst>
              <a:ext uri="{FF2B5EF4-FFF2-40B4-BE49-F238E27FC236}">
                <a16:creationId xmlns:a16="http://schemas.microsoft.com/office/drawing/2014/main" id="{661CC656-9AC5-4EEB-A5A4-9614942DD76F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5" name="$C$1">
            <a:extLst>
              <a:ext uri="{FF2B5EF4-FFF2-40B4-BE49-F238E27FC236}">
                <a16:creationId xmlns:a16="http://schemas.microsoft.com/office/drawing/2014/main" id="{CBCE669A-539E-42BF-AD60-A59728813B07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6" name="$C$1">
            <a:extLst>
              <a:ext uri="{FF2B5EF4-FFF2-40B4-BE49-F238E27FC236}">
                <a16:creationId xmlns:a16="http://schemas.microsoft.com/office/drawing/2014/main" id="{2FA02080-94ED-46B6-B7FB-A44130593CE7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7" name="$C$1">
            <a:extLst>
              <a:ext uri="{FF2B5EF4-FFF2-40B4-BE49-F238E27FC236}">
                <a16:creationId xmlns:a16="http://schemas.microsoft.com/office/drawing/2014/main" id="{3AC42E9F-19F8-4EE2-BBAA-BB23F933C912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8" name="$C$1">
            <a:extLst>
              <a:ext uri="{FF2B5EF4-FFF2-40B4-BE49-F238E27FC236}">
                <a16:creationId xmlns:a16="http://schemas.microsoft.com/office/drawing/2014/main" id="{5EA0EC15-C6DE-4B30-BB96-80CB3B0CD7EB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9" name="$C$1">
            <a:extLst>
              <a:ext uri="{FF2B5EF4-FFF2-40B4-BE49-F238E27FC236}">
                <a16:creationId xmlns:a16="http://schemas.microsoft.com/office/drawing/2014/main" id="{3A9C6EFE-790E-46E0-AD3B-1F9FBD8ED1B1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0" name="$C$1">
            <a:extLst>
              <a:ext uri="{FF2B5EF4-FFF2-40B4-BE49-F238E27FC236}">
                <a16:creationId xmlns:a16="http://schemas.microsoft.com/office/drawing/2014/main" id="{328B26EF-AAB0-43FA-BC8E-0AFB7C5737D8}"/>
              </a:ext>
            </a:extLst>
          </xdr:cNvPr>
          <xdr:cNvSpPr/>
        </xdr:nvSpPr>
        <xdr:spPr>
          <a:xfrm>
            <a:off x="241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1" name="$C$1">
            <a:extLst>
              <a:ext uri="{FF2B5EF4-FFF2-40B4-BE49-F238E27FC236}">
                <a16:creationId xmlns:a16="http://schemas.microsoft.com/office/drawing/2014/main" id="{B9DEBF19-F8F1-4A42-9355-B5AC2FB07B0F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2" name="$C$1">
            <a:extLst>
              <a:ext uri="{FF2B5EF4-FFF2-40B4-BE49-F238E27FC236}">
                <a16:creationId xmlns:a16="http://schemas.microsoft.com/office/drawing/2014/main" id="{788AA1C6-D7EA-4C08-9204-1F143A5C247B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3" name="$C$1">
            <a:extLst>
              <a:ext uri="{FF2B5EF4-FFF2-40B4-BE49-F238E27FC236}">
                <a16:creationId xmlns:a16="http://schemas.microsoft.com/office/drawing/2014/main" id="{CB5DBA3B-4A52-4415-9776-3B89BD9763B5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4" name="$C$1">
            <a:extLst>
              <a:ext uri="{FF2B5EF4-FFF2-40B4-BE49-F238E27FC236}">
                <a16:creationId xmlns:a16="http://schemas.microsoft.com/office/drawing/2014/main" id="{7F220431-BCA5-45E6-9C2B-16D963FDE4EE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5" name="$C$1">
            <a:extLst>
              <a:ext uri="{FF2B5EF4-FFF2-40B4-BE49-F238E27FC236}">
                <a16:creationId xmlns:a16="http://schemas.microsoft.com/office/drawing/2014/main" id="{50CCE90B-3675-4C7A-8349-B5B7E52D5209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6" name="$C$1">
            <a:extLst>
              <a:ext uri="{FF2B5EF4-FFF2-40B4-BE49-F238E27FC236}">
                <a16:creationId xmlns:a16="http://schemas.microsoft.com/office/drawing/2014/main" id="{C4ED597D-6E9D-49FD-B54F-B371BA7CB22D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7" name="$C$1">
            <a:extLst>
              <a:ext uri="{FF2B5EF4-FFF2-40B4-BE49-F238E27FC236}">
                <a16:creationId xmlns:a16="http://schemas.microsoft.com/office/drawing/2014/main" id="{0D1EC21A-80F6-442A-AD53-905982EDC3C5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8" name="$C$1">
            <a:extLst>
              <a:ext uri="{FF2B5EF4-FFF2-40B4-BE49-F238E27FC236}">
                <a16:creationId xmlns:a16="http://schemas.microsoft.com/office/drawing/2014/main" id="{066A35BD-0A81-457C-91D3-9AAD817D98E7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9" name="$C$1">
            <a:extLst>
              <a:ext uri="{FF2B5EF4-FFF2-40B4-BE49-F238E27FC236}">
                <a16:creationId xmlns:a16="http://schemas.microsoft.com/office/drawing/2014/main" id="{DFB7DC2C-0F27-42E1-9BB9-18EA548A7981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0" name="$C$1">
            <a:extLst>
              <a:ext uri="{FF2B5EF4-FFF2-40B4-BE49-F238E27FC236}">
                <a16:creationId xmlns:a16="http://schemas.microsoft.com/office/drawing/2014/main" id="{11018123-49E5-41FE-9448-7900792D3EB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1" name="$C$1">
            <a:extLst>
              <a:ext uri="{FF2B5EF4-FFF2-40B4-BE49-F238E27FC236}">
                <a16:creationId xmlns:a16="http://schemas.microsoft.com/office/drawing/2014/main" id="{FF41899C-1AEC-4A5E-A4F5-AB3B0D415283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2" name="$C$1">
            <a:extLst>
              <a:ext uri="{FF2B5EF4-FFF2-40B4-BE49-F238E27FC236}">
                <a16:creationId xmlns:a16="http://schemas.microsoft.com/office/drawing/2014/main" id="{7251DBFF-C8FC-4533-9132-873F33292F73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3" name="$C$1">
            <a:extLst>
              <a:ext uri="{FF2B5EF4-FFF2-40B4-BE49-F238E27FC236}">
                <a16:creationId xmlns:a16="http://schemas.microsoft.com/office/drawing/2014/main" id="{255D3973-4013-4CF6-9E01-F51F04C6393D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4" name="$C$1">
            <a:extLst>
              <a:ext uri="{FF2B5EF4-FFF2-40B4-BE49-F238E27FC236}">
                <a16:creationId xmlns:a16="http://schemas.microsoft.com/office/drawing/2014/main" id="{B0906440-EA0D-463E-B2BF-F5D4E29F5709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5" name="$C$1">
            <a:extLst>
              <a:ext uri="{FF2B5EF4-FFF2-40B4-BE49-F238E27FC236}">
                <a16:creationId xmlns:a16="http://schemas.microsoft.com/office/drawing/2014/main" id="{5D4F8061-19CD-47D3-B334-1C0E7E824AD5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6" name="$C$1">
            <a:extLst>
              <a:ext uri="{FF2B5EF4-FFF2-40B4-BE49-F238E27FC236}">
                <a16:creationId xmlns:a16="http://schemas.microsoft.com/office/drawing/2014/main" id="{16C40BDC-9ED9-4E53-AF01-C782CCA7C383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7" name="$C$1">
            <a:extLst>
              <a:ext uri="{FF2B5EF4-FFF2-40B4-BE49-F238E27FC236}">
                <a16:creationId xmlns:a16="http://schemas.microsoft.com/office/drawing/2014/main" id="{DAFC1C74-3F77-4DEE-8756-8C72DC75689E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8" name="$C$1">
            <a:extLst>
              <a:ext uri="{FF2B5EF4-FFF2-40B4-BE49-F238E27FC236}">
                <a16:creationId xmlns:a16="http://schemas.microsoft.com/office/drawing/2014/main" id="{4E1359D7-9E3F-42FE-9D1E-C2C6669AD0AA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9" name="$C$1">
            <a:extLst>
              <a:ext uri="{FF2B5EF4-FFF2-40B4-BE49-F238E27FC236}">
                <a16:creationId xmlns:a16="http://schemas.microsoft.com/office/drawing/2014/main" id="{CD18A878-121B-44DC-B1FE-B61EFBFA7245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0" name="$C$1">
            <a:extLst>
              <a:ext uri="{FF2B5EF4-FFF2-40B4-BE49-F238E27FC236}">
                <a16:creationId xmlns:a16="http://schemas.microsoft.com/office/drawing/2014/main" id="{0A669286-F277-47D6-96E6-BEB105AC9EBA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1" name="$C$1">
            <a:extLst>
              <a:ext uri="{FF2B5EF4-FFF2-40B4-BE49-F238E27FC236}">
                <a16:creationId xmlns:a16="http://schemas.microsoft.com/office/drawing/2014/main" id="{CF07648F-D046-4584-AAEB-8EA86626B8F4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2" name="$C$1">
            <a:extLst>
              <a:ext uri="{FF2B5EF4-FFF2-40B4-BE49-F238E27FC236}">
                <a16:creationId xmlns:a16="http://schemas.microsoft.com/office/drawing/2014/main" id="{05CFABE8-91E0-4E92-ADBC-384B3065E404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3" name="$C$1">
            <a:extLst>
              <a:ext uri="{FF2B5EF4-FFF2-40B4-BE49-F238E27FC236}">
                <a16:creationId xmlns:a16="http://schemas.microsoft.com/office/drawing/2014/main" id="{140B3D48-B82C-4339-9754-99D5073F0A4E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4" name="$C$1">
            <a:extLst>
              <a:ext uri="{FF2B5EF4-FFF2-40B4-BE49-F238E27FC236}">
                <a16:creationId xmlns:a16="http://schemas.microsoft.com/office/drawing/2014/main" id="{9C9C3124-C0DF-43D6-84B3-6975995A84D8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5" name="$C$1">
            <a:extLst>
              <a:ext uri="{FF2B5EF4-FFF2-40B4-BE49-F238E27FC236}">
                <a16:creationId xmlns:a16="http://schemas.microsoft.com/office/drawing/2014/main" id="{4B00A45A-D279-44F5-9DDE-537F1C20FCA3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6" name="$C$1">
            <a:extLst>
              <a:ext uri="{FF2B5EF4-FFF2-40B4-BE49-F238E27FC236}">
                <a16:creationId xmlns:a16="http://schemas.microsoft.com/office/drawing/2014/main" id="{F76F6E72-1DA2-425E-814D-82E8E3EC991D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7" name="$C$1">
            <a:extLst>
              <a:ext uri="{FF2B5EF4-FFF2-40B4-BE49-F238E27FC236}">
                <a16:creationId xmlns:a16="http://schemas.microsoft.com/office/drawing/2014/main" id="{E866D398-89BF-46A2-9D35-43742FEEC69D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8" name="$C$1">
            <a:extLst>
              <a:ext uri="{FF2B5EF4-FFF2-40B4-BE49-F238E27FC236}">
                <a16:creationId xmlns:a16="http://schemas.microsoft.com/office/drawing/2014/main" id="{1204AD45-12D0-4EB3-88BD-03C336BF5347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9" name="$C$1">
            <a:extLst>
              <a:ext uri="{FF2B5EF4-FFF2-40B4-BE49-F238E27FC236}">
                <a16:creationId xmlns:a16="http://schemas.microsoft.com/office/drawing/2014/main" id="{C5169B6D-929F-455A-8434-9D6A9A9C9E8C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0" name="$C$1">
            <a:extLst>
              <a:ext uri="{FF2B5EF4-FFF2-40B4-BE49-F238E27FC236}">
                <a16:creationId xmlns:a16="http://schemas.microsoft.com/office/drawing/2014/main" id="{D6612BC9-7056-4CEC-A871-7A2B398091A0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1" name="$C$1">
            <a:extLst>
              <a:ext uri="{FF2B5EF4-FFF2-40B4-BE49-F238E27FC236}">
                <a16:creationId xmlns:a16="http://schemas.microsoft.com/office/drawing/2014/main" id="{814021A1-55C0-453D-B8BC-F3291C893A9B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2" name="$C$1">
            <a:extLst>
              <a:ext uri="{FF2B5EF4-FFF2-40B4-BE49-F238E27FC236}">
                <a16:creationId xmlns:a16="http://schemas.microsoft.com/office/drawing/2014/main" id="{11BDE666-65D7-435A-8164-DBCE3F419573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3" name="$C$1">
            <a:extLst>
              <a:ext uri="{FF2B5EF4-FFF2-40B4-BE49-F238E27FC236}">
                <a16:creationId xmlns:a16="http://schemas.microsoft.com/office/drawing/2014/main" id="{C081F995-7991-46E8-9B3D-D49583B139AD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4" name="$C$1">
            <a:extLst>
              <a:ext uri="{FF2B5EF4-FFF2-40B4-BE49-F238E27FC236}">
                <a16:creationId xmlns:a16="http://schemas.microsoft.com/office/drawing/2014/main" id="{947A6B81-6B72-4829-BFD4-112B3BF9F68D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5" name="$C$1">
            <a:extLst>
              <a:ext uri="{FF2B5EF4-FFF2-40B4-BE49-F238E27FC236}">
                <a16:creationId xmlns:a16="http://schemas.microsoft.com/office/drawing/2014/main" id="{EE62C541-5894-42CE-A71F-8A76F0242D78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6" name="$C$1">
            <a:extLst>
              <a:ext uri="{FF2B5EF4-FFF2-40B4-BE49-F238E27FC236}">
                <a16:creationId xmlns:a16="http://schemas.microsoft.com/office/drawing/2014/main" id="{47BCD3BC-7BF7-4CF4-B1A1-57DFCF272B81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7" name="$C$1">
            <a:extLst>
              <a:ext uri="{FF2B5EF4-FFF2-40B4-BE49-F238E27FC236}">
                <a16:creationId xmlns:a16="http://schemas.microsoft.com/office/drawing/2014/main" id="{D6F0F71C-A4D0-416D-86DD-C6B936BD46C1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8" name="$C$1">
            <a:extLst>
              <a:ext uri="{FF2B5EF4-FFF2-40B4-BE49-F238E27FC236}">
                <a16:creationId xmlns:a16="http://schemas.microsoft.com/office/drawing/2014/main" id="{D1ED177B-F767-4BDA-A022-FF934D96A99B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9" name="$C$1">
            <a:extLst>
              <a:ext uri="{FF2B5EF4-FFF2-40B4-BE49-F238E27FC236}">
                <a16:creationId xmlns:a16="http://schemas.microsoft.com/office/drawing/2014/main" id="{0FD00523-F784-443F-A614-FD0E57D03CBF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0" name="$C$1">
            <a:extLst>
              <a:ext uri="{FF2B5EF4-FFF2-40B4-BE49-F238E27FC236}">
                <a16:creationId xmlns:a16="http://schemas.microsoft.com/office/drawing/2014/main" id="{00AF1336-DC10-4671-9CD6-286BDE423F1E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1" name="$C$1">
            <a:extLst>
              <a:ext uri="{FF2B5EF4-FFF2-40B4-BE49-F238E27FC236}">
                <a16:creationId xmlns:a16="http://schemas.microsoft.com/office/drawing/2014/main" id="{783D4E8B-4104-4A3C-8262-3C1F8E2A825D}"/>
              </a:ext>
            </a:extLst>
          </xdr:cNvPr>
          <xdr:cNvSpPr/>
        </xdr:nvSpPr>
        <xdr:spPr>
          <a:xfrm>
            <a:off x="76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2" name="$C$1">
            <a:extLst>
              <a:ext uri="{FF2B5EF4-FFF2-40B4-BE49-F238E27FC236}">
                <a16:creationId xmlns:a16="http://schemas.microsoft.com/office/drawing/2014/main" id="{1222A8EF-2316-4CBE-BBAA-E4EE968B9994}"/>
              </a:ext>
            </a:extLst>
          </xdr:cNvPr>
          <xdr:cNvSpPr/>
        </xdr:nvSpPr>
        <xdr:spPr>
          <a:xfrm>
            <a:off x="1143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3" name="$C$1">
            <a:extLst>
              <a:ext uri="{FF2B5EF4-FFF2-40B4-BE49-F238E27FC236}">
                <a16:creationId xmlns:a16="http://schemas.microsoft.com/office/drawing/2014/main" id="{AF5BD86C-3873-4A5F-B984-F7EE3A702607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4" name="$C$1">
            <a:extLst>
              <a:ext uri="{FF2B5EF4-FFF2-40B4-BE49-F238E27FC236}">
                <a16:creationId xmlns:a16="http://schemas.microsoft.com/office/drawing/2014/main" id="{D7CC9F82-FFE7-4626-874C-F54D7AB4BEBF}"/>
              </a:ext>
            </a:extLst>
          </xdr:cNvPr>
          <xdr:cNvSpPr/>
        </xdr:nvSpPr>
        <xdr:spPr>
          <a:xfrm>
            <a:off x="165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5" name="$C$1">
            <a:extLst>
              <a:ext uri="{FF2B5EF4-FFF2-40B4-BE49-F238E27FC236}">
                <a16:creationId xmlns:a16="http://schemas.microsoft.com/office/drawing/2014/main" id="{A1288A19-87B2-4FEE-8C64-E3CCB730CE87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6" name="$C$1">
            <a:extLst>
              <a:ext uri="{FF2B5EF4-FFF2-40B4-BE49-F238E27FC236}">
                <a16:creationId xmlns:a16="http://schemas.microsoft.com/office/drawing/2014/main" id="{5C76C46C-4825-42A0-A6FE-C9A494C0661C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7" name="$C$1">
            <a:extLst>
              <a:ext uri="{FF2B5EF4-FFF2-40B4-BE49-F238E27FC236}">
                <a16:creationId xmlns:a16="http://schemas.microsoft.com/office/drawing/2014/main" id="{26A2D746-2C24-474F-96EE-9FFA2491FEF9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8" name="$C$1">
            <a:extLst>
              <a:ext uri="{FF2B5EF4-FFF2-40B4-BE49-F238E27FC236}">
                <a16:creationId xmlns:a16="http://schemas.microsoft.com/office/drawing/2014/main" id="{C10750CB-4105-42BF-A89D-60960B6DAC79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9" name="$C$1">
            <a:extLst>
              <a:ext uri="{FF2B5EF4-FFF2-40B4-BE49-F238E27FC236}">
                <a16:creationId xmlns:a16="http://schemas.microsoft.com/office/drawing/2014/main" id="{831295B1-DD23-49B8-926E-956DA015DC89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0" name="$C$1">
            <a:extLst>
              <a:ext uri="{FF2B5EF4-FFF2-40B4-BE49-F238E27FC236}">
                <a16:creationId xmlns:a16="http://schemas.microsoft.com/office/drawing/2014/main" id="{03CF418B-0EBA-451C-A4C5-C2F21814EBB1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1" name="$C$1">
            <a:extLst>
              <a:ext uri="{FF2B5EF4-FFF2-40B4-BE49-F238E27FC236}">
                <a16:creationId xmlns:a16="http://schemas.microsoft.com/office/drawing/2014/main" id="{C12C4344-7174-4AED-B7D5-9DC337E81F52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2" name="$C$1">
            <a:extLst>
              <a:ext uri="{FF2B5EF4-FFF2-40B4-BE49-F238E27FC236}">
                <a16:creationId xmlns:a16="http://schemas.microsoft.com/office/drawing/2014/main" id="{41C6C5FF-0AC4-4EA1-B5F0-C6D4F39FE8EC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3" name="$C$1">
            <a:extLst>
              <a:ext uri="{FF2B5EF4-FFF2-40B4-BE49-F238E27FC236}">
                <a16:creationId xmlns:a16="http://schemas.microsoft.com/office/drawing/2014/main" id="{28488E10-DF96-4BB8-89F9-91BD03E751AD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4" name="$C$1">
            <a:extLst>
              <a:ext uri="{FF2B5EF4-FFF2-40B4-BE49-F238E27FC236}">
                <a16:creationId xmlns:a16="http://schemas.microsoft.com/office/drawing/2014/main" id="{C22AB23B-DF97-4564-B104-9AC9860A6EC9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5" name="$C$1">
            <a:extLst>
              <a:ext uri="{FF2B5EF4-FFF2-40B4-BE49-F238E27FC236}">
                <a16:creationId xmlns:a16="http://schemas.microsoft.com/office/drawing/2014/main" id="{274EE5C8-5B1D-4034-9F49-9397BAFF6E9D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6" name="$C$1">
            <a:extLst>
              <a:ext uri="{FF2B5EF4-FFF2-40B4-BE49-F238E27FC236}">
                <a16:creationId xmlns:a16="http://schemas.microsoft.com/office/drawing/2014/main" id="{5B3CF1F3-DC85-4F50-99F2-DB07368055EA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7" name="$C$1">
            <a:extLst>
              <a:ext uri="{FF2B5EF4-FFF2-40B4-BE49-F238E27FC236}">
                <a16:creationId xmlns:a16="http://schemas.microsoft.com/office/drawing/2014/main" id="{9F28A1CB-8F1B-4323-B496-A9DBBCCCD5A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8" name="$C$1">
            <a:extLst>
              <a:ext uri="{FF2B5EF4-FFF2-40B4-BE49-F238E27FC236}">
                <a16:creationId xmlns:a16="http://schemas.microsoft.com/office/drawing/2014/main" id="{7BC37BF8-F8F8-4315-965B-AA6D4CFDEE27}"/>
              </a:ext>
            </a:extLst>
          </xdr:cNvPr>
          <xdr:cNvSpPr/>
        </xdr:nvSpPr>
        <xdr:spPr>
          <a:xfrm>
            <a:off x="228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9" name="$C$1">
            <a:extLst>
              <a:ext uri="{FF2B5EF4-FFF2-40B4-BE49-F238E27FC236}">
                <a16:creationId xmlns:a16="http://schemas.microsoft.com/office/drawing/2014/main" id="{50C9E9BF-B384-4EF1-BA9D-2B136185992D}"/>
              </a:ext>
            </a:extLst>
          </xdr:cNvPr>
          <xdr:cNvSpPr/>
        </xdr:nvSpPr>
        <xdr:spPr>
          <a:xfrm>
            <a:off x="2413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0" name="$C$1">
            <a:extLst>
              <a:ext uri="{FF2B5EF4-FFF2-40B4-BE49-F238E27FC236}">
                <a16:creationId xmlns:a16="http://schemas.microsoft.com/office/drawing/2014/main" id="{0C62EDF8-F37F-4701-AE8B-7039925F0658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1" name="$C$1">
            <a:extLst>
              <a:ext uri="{FF2B5EF4-FFF2-40B4-BE49-F238E27FC236}">
                <a16:creationId xmlns:a16="http://schemas.microsoft.com/office/drawing/2014/main" id="{2DDEE392-02CE-492B-B596-F0BECAE3540F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2" name="$C$1">
            <a:extLst>
              <a:ext uri="{FF2B5EF4-FFF2-40B4-BE49-F238E27FC236}">
                <a16:creationId xmlns:a16="http://schemas.microsoft.com/office/drawing/2014/main" id="{8CEBB855-821D-4A6F-B66B-41DF1293065D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3" name="$C$1">
            <a:extLst>
              <a:ext uri="{FF2B5EF4-FFF2-40B4-BE49-F238E27FC236}">
                <a16:creationId xmlns:a16="http://schemas.microsoft.com/office/drawing/2014/main" id="{1F9D7D5C-9FBE-478F-B8C5-9F0EAEE1E763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4" name="$C$1">
            <a:extLst>
              <a:ext uri="{FF2B5EF4-FFF2-40B4-BE49-F238E27FC236}">
                <a16:creationId xmlns:a16="http://schemas.microsoft.com/office/drawing/2014/main" id="{DB6B24DC-DB47-47D4-958D-833535D90BAB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5" name="$C$1">
            <a:extLst>
              <a:ext uri="{FF2B5EF4-FFF2-40B4-BE49-F238E27FC236}">
                <a16:creationId xmlns:a16="http://schemas.microsoft.com/office/drawing/2014/main" id="{9D14CE13-4304-4720-8C6A-D07AA4329EE1}"/>
              </a:ext>
            </a:extLst>
          </xdr:cNvPr>
          <xdr:cNvSpPr/>
        </xdr:nvSpPr>
        <xdr:spPr>
          <a:xfrm>
            <a:off x="76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6" name="$C$1">
            <a:extLst>
              <a:ext uri="{FF2B5EF4-FFF2-40B4-BE49-F238E27FC236}">
                <a16:creationId xmlns:a16="http://schemas.microsoft.com/office/drawing/2014/main" id="{3ECB2C0C-4ECE-43EE-A0A2-B2CD41507C76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7" name="$C$1">
            <a:extLst>
              <a:ext uri="{FF2B5EF4-FFF2-40B4-BE49-F238E27FC236}">
                <a16:creationId xmlns:a16="http://schemas.microsoft.com/office/drawing/2014/main" id="{9D413E5F-A666-4BE1-9301-D7820C42604B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8" name="$C$1">
            <a:extLst>
              <a:ext uri="{FF2B5EF4-FFF2-40B4-BE49-F238E27FC236}">
                <a16:creationId xmlns:a16="http://schemas.microsoft.com/office/drawing/2014/main" id="{AAAA2E4F-ADC5-4FE0-AA8E-1A67FBE58BD9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9" name="$C$1">
            <a:extLst>
              <a:ext uri="{FF2B5EF4-FFF2-40B4-BE49-F238E27FC236}">
                <a16:creationId xmlns:a16="http://schemas.microsoft.com/office/drawing/2014/main" id="{57D32BB6-B996-475E-BCF4-EDCE04A72415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0" name="$C$1">
            <a:extLst>
              <a:ext uri="{FF2B5EF4-FFF2-40B4-BE49-F238E27FC236}">
                <a16:creationId xmlns:a16="http://schemas.microsoft.com/office/drawing/2014/main" id="{AE8B8C26-7D3B-42EB-B700-5ECB433EECDA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1" name="$C$1">
            <a:extLst>
              <a:ext uri="{FF2B5EF4-FFF2-40B4-BE49-F238E27FC236}">
                <a16:creationId xmlns:a16="http://schemas.microsoft.com/office/drawing/2014/main" id="{0531ECAE-833F-4C88-99C6-9A3C5BD42232}"/>
              </a:ext>
            </a:extLst>
          </xdr:cNvPr>
          <xdr:cNvSpPr/>
        </xdr:nvSpPr>
        <xdr:spPr>
          <a:xfrm>
            <a:off x="190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2" name="$C$1">
            <a:extLst>
              <a:ext uri="{FF2B5EF4-FFF2-40B4-BE49-F238E27FC236}">
                <a16:creationId xmlns:a16="http://schemas.microsoft.com/office/drawing/2014/main" id="{637CAE7A-36B1-41B0-B405-C99E5B090BC8}"/>
              </a:ext>
            </a:extLst>
          </xdr:cNvPr>
          <xdr:cNvSpPr/>
        </xdr:nvSpPr>
        <xdr:spPr>
          <a:xfrm>
            <a:off x="215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3" name="$C$1">
            <a:extLst>
              <a:ext uri="{FF2B5EF4-FFF2-40B4-BE49-F238E27FC236}">
                <a16:creationId xmlns:a16="http://schemas.microsoft.com/office/drawing/2014/main" id="{5E9F63F2-DF4A-459F-A4A9-C8B92745E251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4" name="$C$1">
            <a:extLst>
              <a:ext uri="{FF2B5EF4-FFF2-40B4-BE49-F238E27FC236}">
                <a16:creationId xmlns:a16="http://schemas.microsoft.com/office/drawing/2014/main" id="{B7B5DB45-FA16-4281-9502-42557FFD0AB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5" name="$C$1">
            <a:extLst>
              <a:ext uri="{FF2B5EF4-FFF2-40B4-BE49-F238E27FC236}">
                <a16:creationId xmlns:a16="http://schemas.microsoft.com/office/drawing/2014/main" id="{B0BFCD64-D3BC-4128-9D1F-F7C310120567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6" name="$C$1">
            <a:extLst>
              <a:ext uri="{FF2B5EF4-FFF2-40B4-BE49-F238E27FC236}">
                <a16:creationId xmlns:a16="http://schemas.microsoft.com/office/drawing/2014/main" id="{9E283B9D-AEE1-4501-BCCB-A1BFE13FAB17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7" name="$C$1">
            <a:extLst>
              <a:ext uri="{FF2B5EF4-FFF2-40B4-BE49-F238E27FC236}">
                <a16:creationId xmlns:a16="http://schemas.microsoft.com/office/drawing/2014/main" id="{2761FAE2-A059-4672-80F5-23AF591291CF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8" name="$C$1">
            <a:extLst>
              <a:ext uri="{FF2B5EF4-FFF2-40B4-BE49-F238E27FC236}">
                <a16:creationId xmlns:a16="http://schemas.microsoft.com/office/drawing/2014/main" id="{8E641F53-28A1-4B9D-A205-0D143C102F1B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9" name="$C$1">
            <a:extLst>
              <a:ext uri="{FF2B5EF4-FFF2-40B4-BE49-F238E27FC236}">
                <a16:creationId xmlns:a16="http://schemas.microsoft.com/office/drawing/2014/main" id="{F6AC7BBF-085C-4677-9043-73DF30EA3B0F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0" name="$C$1">
            <a:extLst>
              <a:ext uri="{FF2B5EF4-FFF2-40B4-BE49-F238E27FC236}">
                <a16:creationId xmlns:a16="http://schemas.microsoft.com/office/drawing/2014/main" id="{C6F697F2-921D-4540-B2D9-058F2D12860C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1" name="$C$1">
            <a:extLst>
              <a:ext uri="{FF2B5EF4-FFF2-40B4-BE49-F238E27FC236}">
                <a16:creationId xmlns:a16="http://schemas.microsoft.com/office/drawing/2014/main" id="{81488BC0-87BA-44CE-8413-73B1E2189BCE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2" name="$C$1">
            <a:extLst>
              <a:ext uri="{FF2B5EF4-FFF2-40B4-BE49-F238E27FC236}">
                <a16:creationId xmlns:a16="http://schemas.microsoft.com/office/drawing/2014/main" id="{2CE1CF65-6E39-4D54-9CDA-FD75CDD3E2BA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3" name="$C$1">
            <a:extLst>
              <a:ext uri="{FF2B5EF4-FFF2-40B4-BE49-F238E27FC236}">
                <a16:creationId xmlns:a16="http://schemas.microsoft.com/office/drawing/2014/main" id="{2EB3326F-3443-4E96-AB96-356DB9388319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4" name="$C$1">
            <a:extLst>
              <a:ext uri="{FF2B5EF4-FFF2-40B4-BE49-F238E27FC236}">
                <a16:creationId xmlns:a16="http://schemas.microsoft.com/office/drawing/2014/main" id="{11E53752-7F4E-401A-BC22-67A8FAA84F41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5" name="$C$1">
            <a:extLst>
              <a:ext uri="{FF2B5EF4-FFF2-40B4-BE49-F238E27FC236}">
                <a16:creationId xmlns:a16="http://schemas.microsoft.com/office/drawing/2014/main" id="{D697906F-992E-4900-B84A-006D18F8E92F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6" name="$C$1">
            <a:extLst>
              <a:ext uri="{FF2B5EF4-FFF2-40B4-BE49-F238E27FC236}">
                <a16:creationId xmlns:a16="http://schemas.microsoft.com/office/drawing/2014/main" id="{C4B3069A-8554-4B2C-91BC-532501715682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7" name="$C$1">
            <a:extLst>
              <a:ext uri="{FF2B5EF4-FFF2-40B4-BE49-F238E27FC236}">
                <a16:creationId xmlns:a16="http://schemas.microsoft.com/office/drawing/2014/main" id="{4B540B09-6486-4ADB-8738-08BEF787B456}"/>
              </a:ext>
            </a:extLst>
          </xdr:cNvPr>
          <xdr:cNvSpPr/>
        </xdr:nvSpPr>
        <xdr:spPr>
          <a:xfrm>
            <a:off x="76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8" name="$C$1">
            <a:extLst>
              <a:ext uri="{FF2B5EF4-FFF2-40B4-BE49-F238E27FC236}">
                <a16:creationId xmlns:a16="http://schemas.microsoft.com/office/drawing/2014/main" id="{1E23D5D9-E560-48C5-8CED-79F52DC4F386}"/>
              </a:ext>
            </a:extLst>
          </xdr:cNvPr>
          <xdr:cNvSpPr/>
        </xdr:nvSpPr>
        <xdr:spPr>
          <a:xfrm>
            <a:off x="1143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9" name="$C$1">
            <a:extLst>
              <a:ext uri="{FF2B5EF4-FFF2-40B4-BE49-F238E27FC236}">
                <a16:creationId xmlns:a16="http://schemas.microsoft.com/office/drawing/2014/main" id="{F6426FF1-8117-4B17-B6F8-B73869254D6A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0" name="$C$1">
            <a:extLst>
              <a:ext uri="{FF2B5EF4-FFF2-40B4-BE49-F238E27FC236}">
                <a16:creationId xmlns:a16="http://schemas.microsoft.com/office/drawing/2014/main" id="{C94C82B8-020D-4080-9098-DFEB712226E3}"/>
              </a:ext>
            </a:extLst>
          </xdr:cNvPr>
          <xdr:cNvSpPr/>
        </xdr:nvSpPr>
        <xdr:spPr>
          <a:xfrm>
            <a:off x="165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1" name="$C$1">
            <a:extLst>
              <a:ext uri="{FF2B5EF4-FFF2-40B4-BE49-F238E27FC236}">
                <a16:creationId xmlns:a16="http://schemas.microsoft.com/office/drawing/2014/main" id="{9FA578BB-B1BB-4AC0-9AD3-7D708E06D246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2" name="$C$1">
            <a:extLst>
              <a:ext uri="{FF2B5EF4-FFF2-40B4-BE49-F238E27FC236}">
                <a16:creationId xmlns:a16="http://schemas.microsoft.com/office/drawing/2014/main" id="{C81D57DA-D179-478B-9E64-ED15820F1499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3" name="$C$1">
            <a:extLst>
              <a:ext uri="{FF2B5EF4-FFF2-40B4-BE49-F238E27FC236}">
                <a16:creationId xmlns:a16="http://schemas.microsoft.com/office/drawing/2014/main" id="{A2C47C4F-193A-417E-8F1C-FAC822D976E3}"/>
              </a:ext>
            </a:extLst>
          </xdr:cNvPr>
          <xdr:cNvSpPr/>
        </xdr:nvSpPr>
        <xdr:spPr>
          <a:xfrm>
            <a:off x="215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4" name="$C$1">
            <a:extLst>
              <a:ext uri="{FF2B5EF4-FFF2-40B4-BE49-F238E27FC236}">
                <a16:creationId xmlns:a16="http://schemas.microsoft.com/office/drawing/2014/main" id="{8E08B49A-78CC-424D-99C9-87E4F384125B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5" name="$C$1">
            <a:extLst>
              <a:ext uri="{FF2B5EF4-FFF2-40B4-BE49-F238E27FC236}">
                <a16:creationId xmlns:a16="http://schemas.microsoft.com/office/drawing/2014/main" id="{33F81110-3292-4C70-84B1-37C623337EE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6" name="$C$1">
            <a:extLst>
              <a:ext uri="{FF2B5EF4-FFF2-40B4-BE49-F238E27FC236}">
                <a16:creationId xmlns:a16="http://schemas.microsoft.com/office/drawing/2014/main" id="{88ECAE4D-A090-46A7-BD97-6FCA2C40EC89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7" name="$C$1">
            <a:extLst>
              <a:ext uri="{FF2B5EF4-FFF2-40B4-BE49-F238E27FC236}">
                <a16:creationId xmlns:a16="http://schemas.microsoft.com/office/drawing/2014/main" id="{5B4A7385-4603-4D49-BC77-4EC59DC0ACF4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8" name="$C$1">
            <a:extLst>
              <a:ext uri="{FF2B5EF4-FFF2-40B4-BE49-F238E27FC236}">
                <a16:creationId xmlns:a16="http://schemas.microsoft.com/office/drawing/2014/main" id="{77C21AE6-A043-4CEF-B565-1AD0610CA15F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9" name="$C$1">
            <a:extLst>
              <a:ext uri="{FF2B5EF4-FFF2-40B4-BE49-F238E27FC236}">
                <a16:creationId xmlns:a16="http://schemas.microsoft.com/office/drawing/2014/main" id="{015681DA-6112-4752-97A5-DEB1BE12C961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60" name="$C$1">
            <a:extLst>
              <a:ext uri="{FF2B5EF4-FFF2-40B4-BE49-F238E27FC236}">
                <a16:creationId xmlns:a16="http://schemas.microsoft.com/office/drawing/2014/main" id="{87051D27-B7CB-4C6E-B875-77D6108AD42F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61" name="$C$1">
            <a:extLst>
              <a:ext uri="{FF2B5EF4-FFF2-40B4-BE49-F238E27FC236}">
                <a16:creationId xmlns:a16="http://schemas.microsoft.com/office/drawing/2014/main" id="{97359174-3F99-4B76-8EB7-3AEB06DD754F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62" name="$C$1">
            <a:extLst>
              <a:ext uri="{FF2B5EF4-FFF2-40B4-BE49-F238E27FC236}">
                <a16:creationId xmlns:a16="http://schemas.microsoft.com/office/drawing/2014/main" id="{EE40832E-C7DB-468A-AD81-8311425A20F1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63" name="$C$1">
            <a:extLst>
              <a:ext uri="{FF2B5EF4-FFF2-40B4-BE49-F238E27FC236}">
                <a16:creationId xmlns:a16="http://schemas.microsoft.com/office/drawing/2014/main" id="{4FC1253A-DC05-4991-916B-31691F271D22}"/>
              </a:ext>
            </a:extLst>
          </xdr:cNvPr>
          <xdr:cNvSpPr/>
        </xdr:nvSpPr>
        <xdr:spPr>
          <a:xfrm>
            <a:off x="190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64" name="$C$1">
            <a:extLst>
              <a:ext uri="{FF2B5EF4-FFF2-40B4-BE49-F238E27FC236}">
                <a16:creationId xmlns:a16="http://schemas.microsoft.com/office/drawing/2014/main" id="{AE7A5AFD-B599-4166-9B07-3F9D6128CDB1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65" name="$C$1">
            <a:extLst>
              <a:ext uri="{FF2B5EF4-FFF2-40B4-BE49-F238E27FC236}">
                <a16:creationId xmlns:a16="http://schemas.microsoft.com/office/drawing/2014/main" id="{944F3C58-9D6B-4368-9D9A-4A326881D5B5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3</xdr:col>
      <xdr:colOff>184150</xdr:colOff>
      <xdr:row>1</xdr:row>
      <xdr:rowOff>123190</xdr:rowOff>
    </xdr:from>
    <xdr:to>
      <xdr:col>3</xdr:col>
      <xdr:colOff>1377950</xdr:colOff>
      <xdr:row>1</xdr:row>
      <xdr:rowOff>1316990</xdr:rowOff>
    </xdr:to>
    <xdr:grpSp>
      <xdr:nvGrpSpPr>
        <xdr:cNvPr id="42846" name="$D$2" descr="DataMatrix barcode, 12x12 cells" title="test">
          <a:extLst>
            <a:ext uri="{FF2B5EF4-FFF2-40B4-BE49-F238E27FC236}">
              <a16:creationId xmlns:a16="http://schemas.microsoft.com/office/drawing/2014/main" id="{CBB51EC5-0298-48D2-9DCD-5CBDD69FF6C7}"/>
            </a:ext>
          </a:extLst>
        </xdr:cNvPr>
        <xdr:cNvGrpSpPr>
          <a:grpSpLocks noChangeAspect="1"/>
        </xdr:cNvGrpSpPr>
      </xdr:nvGrpSpPr>
      <xdr:grpSpPr>
        <a:xfrm>
          <a:off x="5053330" y="1548130"/>
          <a:ext cx="1193800" cy="1193800"/>
          <a:chOff x="0" y="0"/>
          <a:chExt cx="152400" cy="152400"/>
        </a:xfrm>
        <a:solidFill>
          <a:srgbClr val="000000"/>
        </a:solidFill>
      </xdr:grpSpPr>
      <xdr:sp macro="" textlink="">
        <xdr:nvSpPr>
          <xdr:cNvPr id="42767" name="$D$2">
            <a:extLst>
              <a:ext uri="{FF2B5EF4-FFF2-40B4-BE49-F238E27FC236}">
                <a16:creationId xmlns:a16="http://schemas.microsoft.com/office/drawing/2014/main" id="{824BF30B-0452-4C2B-80FB-DCCED74D4073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68" name="$D$2">
            <a:extLst>
              <a:ext uri="{FF2B5EF4-FFF2-40B4-BE49-F238E27FC236}">
                <a16:creationId xmlns:a16="http://schemas.microsoft.com/office/drawing/2014/main" id="{C49E7CAB-24C2-4EEB-B74A-C44682E684F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69" name="$D$2">
            <a:extLst>
              <a:ext uri="{FF2B5EF4-FFF2-40B4-BE49-F238E27FC236}">
                <a16:creationId xmlns:a16="http://schemas.microsoft.com/office/drawing/2014/main" id="{44BE45BF-1281-4449-BD33-B0B7451DE11B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0" name="$D$2">
            <a:extLst>
              <a:ext uri="{FF2B5EF4-FFF2-40B4-BE49-F238E27FC236}">
                <a16:creationId xmlns:a16="http://schemas.microsoft.com/office/drawing/2014/main" id="{9CBFDE19-1BF8-43B9-8DF9-483C46D1F716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1" name="$D$2">
            <a:extLst>
              <a:ext uri="{FF2B5EF4-FFF2-40B4-BE49-F238E27FC236}">
                <a16:creationId xmlns:a16="http://schemas.microsoft.com/office/drawing/2014/main" id="{8D46838C-0944-4858-B8C5-BDDEF33AA0DD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2" name="$D$2">
            <a:extLst>
              <a:ext uri="{FF2B5EF4-FFF2-40B4-BE49-F238E27FC236}">
                <a16:creationId xmlns:a16="http://schemas.microsoft.com/office/drawing/2014/main" id="{B98EEA39-7A0F-4A83-893E-8D789EAC4E60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3" name="$D$2">
            <a:extLst>
              <a:ext uri="{FF2B5EF4-FFF2-40B4-BE49-F238E27FC236}">
                <a16:creationId xmlns:a16="http://schemas.microsoft.com/office/drawing/2014/main" id="{0250FFB7-6831-494F-B046-9307C7AEC4C2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4" name="$D$2">
            <a:extLst>
              <a:ext uri="{FF2B5EF4-FFF2-40B4-BE49-F238E27FC236}">
                <a16:creationId xmlns:a16="http://schemas.microsoft.com/office/drawing/2014/main" id="{6D6964E9-C976-4924-A768-F2E63973ABEF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5" name="$D$2">
            <a:extLst>
              <a:ext uri="{FF2B5EF4-FFF2-40B4-BE49-F238E27FC236}">
                <a16:creationId xmlns:a16="http://schemas.microsoft.com/office/drawing/2014/main" id="{233D72A1-E7CC-4FA7-AB19-DAB8E76CD022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6" name="$D$2">
            <a:extLst>
              <a:ext uri="{FF2B5EF4-FFF2-40B4-BE49-F238E27FC236}">
                <a16:creationId xmlns:a16="http://schemas.microsoft.com/office/drawing/2014/main" id="{5538CB9C-8846-4F95-A46C-FC8E945AD986}"/>
              </a:ext>
            </a:extLst>
          </xdr:cNvPr>
          <xdr:cNvSpPr/>
        </xdr:nvSpPr>
        <xdr:spPr>
          <a:xfrm>
            <a:off x="76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7" name="$D$2">
            <a:extLst>
              <a:ext uri="{FF2B5EF4-FFF2-40B4-BE49-F238E27FC236}">
                <a16:creationId xmlns:a16="http://schemas.microsoft.com/office/drawing/2014/main" id="{E5A854BF-38D8-408C-A248-B92953DC8519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8" name="$D$2">
            <a:extLst>
              <a:ext uri="{FF2B5EF4-FFF2-40B4-BE49-F238E27FC236}">
                <a16:creationId xmlns:a16="http://schemas.microsoft.com/office/drawing/2014/main" id="{F0C6B1D3-FDC7-4A0C-93A2-BF2F7F4C6F97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9" name="$D$2">
            <a:extLst>
              <a:ext uri="{FF2B5EF4-FFF2-40B4-BE49-F238E27FC236}">
                <a16:creationId xmlns:a16="http://schemas.microsoft.com/office/drawing/2014/main" id="{60DA845F-3972-4429-A40E-4712D1C0087A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0" name="$D$2">
            <a:extLst>
              <a:ext uri="{FF2B5EF4-FFF2-40B4-BE49-F238E27FC236}">
                <a16:creationId xmlns:a16="http://schemas.microsoft.com/office/drawing/2014/main" id="{9CB15A06-8087-470A-BD7A-195AF5EC01A5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1" name="$D$2">
            <a:extLst>
              <a:ext uri="{FF2B5EF4-FFF2-40B4-BE49-F238E27FC236}">
                <a16:creationId xmlns:a16="http://schemas.microsoft.com/office/drawing/2014/main" id="{141BDFF9-121F-479C-8CDB-4D8CD72097A7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2" name="$D$2">
            <a:extLst>
              <a:ext uri="{FF2B5EF4-FFF2-40B4-BE49-F238E27FC236}">
                <a16:creationId xmlns:a16="http://schemas.microsoft.com/office/drawing/2014/main" id="{FE05F400-12C9-445F-9C21-F32D552A6EB8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3" name="$D$2">
            <a:extLst>
              <a:ext uri="{FF2B5EF4-FFF2-40B4-BE49-F238E27FC236}">
                <a16:creationId xmlns:a16="http://schemas.microsoft.com/office/drawing/2014/main" id="{9D67F84F-F393-4004-95AE-5A7AA65E4882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4" name="$D$2">
            <a:extLst>
              <a:ext uri="{FF2B5EF4-FFF2-40B4-BE49-F238E27FC236}">
                <a16:creationId xmlns:a16="http://schemas.microsoft.com/office/drawing/2014/main" id="{5DC7E8C5-A181-4651-883E-79DF510EE3C0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5" name="$D$2">
            <a:extLst>
              <a:ext uri="{FF2B5EF4-FFF2-40B4-BE49-F238E27FC236}">
                <a16:creationId xmlns:a16="http://schemas.microsoft.com/office/drawing/2014/main" id="{63C29FD4-A4B3-423B-BFA0-82A000B7AE5A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6" name="$D$2">
            <a:extLst>
              <a:ext uri="{FF2B5EF4-FFF2-40B4-BE49-F238E27FC236}">
                <a16:creationId xmlns:a16="http://schemas.microsoft.com/office/drawing/2014/main" id="{AE7724A7-C83D-47DC-8748-A0448FB8F2BE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7" name="$D$2">
            <a:extLst>
              <a:ext uri="{FF2B5EF4-FFF2-40B4-BE49-F238E27FC236}">
                <a16:creationId xmlns:a16="http://schemas.microsoft.com/office/drawing/2014/main" id="{9CAD7BBB-A948-480A-BF04-607B7AA82E9C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8" name="$D$2">
            <a:extLst>
              <a:ext uri="{FF2B5EF4-FFF2-40B4-BE49-F238E27FC236}">
                <a16:creationId xmlns:a16="http://schemas.microsoft.com/office/drawing/2014/main" id="{5F0E4CF1-0D72-4CE6-AE8C-7B815AB365DD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9" name="$D$2">
            <a:extLst>
              <a:ext uri="{FF2B5EF4-FFF2-40B4-BE49-F238E27FC236}">
                <a16:creationId xmlns:a16="http://schemas.microsoft.com/office/drawing/2014/main" id="{E7B707BB-E359-4C94-9A07-4D3184831895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0" name="$D$2">
            <a:extLst>
              <a:ext uri="{FF2B5EF4-FFF2-40B4-BE49-F238E27FC236}">
                <a16:creationId xmlns:a16="http://schemas.microsoft.com/office/drawing/2014/main" id="{62ADE491-C402-4D07-B061-DF4CD6B46ACA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1" name="$D$2">
            <a:extLst>
              <a:ext uri="{FF2B5EF4-FFF2-40B4-BE49-F238E27FC236}">
                <a16:creationId xmlns:a16="http://schemas.microsoft.com/office/drawing/2014/main" id="{64D414C7-F5E4-4AC0-A0D5-1F9591E069AB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2" name="$D$2">
            <a:extLst>
              <a:ext uri="{FF2B5EF4-FFF2-40B4-BE49-F238E27FC236}">
                <a16:creationId xmlns:a16="http://schemas.microsoft.com/office/drawing/2014/main" id="{EEF2A2F8-0BF3-48A7-A0ED-5AEE30E1DDC3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3" name="$D$2">
            <a:extLst>
              <a:ext uri="{FF2B5EF4-FFF2-40B4-BE49-F238E27FC236}">
                <a16:creationId xmlns:a16="http://schemas.microsoft.com/office/drawing/2014/main" id="{A31A832E-02C0-47BC-9537-0F489B7F036B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4" name="$D$2">
            <a:extLst>
              <a:ext uri="{FF2B5EF4-FFF2-40B4-BE49-F238E27FC236}">
                <a16:creationId xmlns:a16="http://schemas.microsoft.com/office/drawing/2014/main" id="{D941E074-6993-48E4-B428-BD775811D7B8}"/>
              </a:ext>
            </a:extLst>
          </xdr:cNvPr>
          <xdr:cNvSpPr/>
        </xdr:nvSpPr>
        <xdr:spPr>
          <a:xfrm>
            <a:off x="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5" name="$D$2">
            <a:extLst>
              <a:ext uri="{FF2B5EF4-FFF2-40B4-BE49-F238E27FC236}">
                <a16:creationId xmlns:a16="http://schemas.microsoft.com/office/drawing/2014/main" id="{24E53FF0-4E64-477E-AED5-47857E6E414E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6" name="$D$2">
            <a:extLst>
              <a:ext uri="{FF2B5EF4-FFF2-40B4-BE49-F238E27FC236}">
                <a16:creationId xmlns:a16="http://schemas.microsoft.com/office/drawing/2014/main" id="{A0441139-7FC6-4F8E-92C8-B07F972CD14E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7" name="$D$2">
            <a:extLst>
              <a:ext uri="{FF2B5EF4-FFF2-40B4-BE49-F238E27FC236}">
                <a16:creationId xmlns:a16="http://schemas.microsoft.com/office/drawing/2014/main" id="{19C98CCE-E3CF-4D13-A9A0-9930D0D89E41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8" name="$D$2">
            <a:extLst>
              <a:ext uri="{FF2B5EF4-FFF2-40B4-BE49-F238E27FC236}">
                <a16:creationId xmlns:a16="http://schemas.microsoft.com/office/drawing/2014/main" id="{BC20D0CE-CC56-4F5A-BDF5-5721D3F93AD5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9" name="$D$2">
            <a:extLst>
              <a:ext uri="{FF2B5EF4-FFF2-40B4-BE49-F238E27FC236}">
                <a16:creationId xmlns:a16="http://schemas.microsoft.com/office/drawing/2014/main" id="{C439738C-23A1-4AC3-80ED-6E89C8775348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0" name="$D$2">
            <a:extLst>
              <a:ext uri="{FF2B5EF4-FFF2-40B4-BE49-F238E27FC236}">
                <a16:creationId xmlns:a16="http://schemas.microsoft.com/office/drawing/2014/main" id="{3CDD5A67-B826-4B67-AFC4-FDCB02394191}"/>
              </a:ext>
            </a:extLst>
          </xdr:cNvPr>
          <xdr:cNvSpPr/>
        </xdr:nvSpPr>
        <xdr:spPr>
          <a:xfrm>
            <a:off x="12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1" name="$D$2">
            <a:extLst>
              <a:ext uri="{FF2B5EF4-FFF2-40B4-BE49-F238E27FC236}">
                <a16:creationId xmlns:a16="http://schemas.microsoft.com/office/drawing/2014/main" id="{BF358BA8-AD9F-4B99-BBE2-4AEB58A7ADE5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2" name="$D$2">
            <a:extLst>
              <a:ext uri="{FF2B5EF4-FFF2-40B4-BE49-F238E27FC236}">
                <a16:creationId xmlns:a16="http://schemas.microsoft.com/office/drawing/2014/main" id="{A29A4BE5-D54F-462D-B67E-00EA3AAA146C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3" name="$D$2">
            <a:extLst>
              <a:ext uri="{FF2B5EF4-FFF2-40B4-BE49-F238E27FC236}">
                <a16:creationId xmlns:a16="http://schemas.microsoft.com/office/drawing/2014/main" id="{2504C461-5066-4606-ABAA-8738C46C1DF9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4" name="$D$2">
            <a:extLst>
              <a:ext uri="{FF2B5EF4-FFF2-40B4-BE49-F238E27FC236}">
                <a16:creationId xmlns:a16="http://schemas.microsoft.com/office/drawing/2014/main" id="{BD8F4865-979E-4060-B487-11EABE08788E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5" name="$D$2">
            <a:extLst>
              <a:ext uri="{FF2B5EF4-FFF2-40B4-BE49-F238E27FC236}">
                <a16:creationId xmlns:a16="http://schemas.microsoft.com/office/drawing/2014/main" id="{32FFB004-79BB-4B8C-BD69-E054136E559B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6" name="$D$2">
            <a:extLst>
              <a:ext uri="{FF2B5EF4-FFF2-40B4-BE49-F238E27FC236}">
                <a16:creationId xmlns:a16="http://schemas.microsoft.com/office/drawing/2014/main" id="{CBB588D3-FBE7-4ACE-A17C-11008B3968B7}"/>
              </a:ext>
            </a:extLst>
          </xdr:cNvPr>
          <xdr:cNvSpPr/>
        </xdr:nvSpPr>
        <xdr:spPr>
          <a:xfrm>
            <a:off x="127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7" name="$D$2">
            <a:extLst>
              <a:ext uri="{FF2B5EF4-FFF2-40B4-BE49-F238E27FC236}">
                <a16:creationId xmlns:a16="http://schemas.microsoft.com/office/drawing/2014/main" id="{71F2EB67-B7DF-4C1C-963A-824DE0109279}"/>
              </a:ext>
            </a:extLst>
          </xdr:cNvPr>
          <xdr:cNvSpPr/>
        </xdr:nvSpPr>
        <xdr:spPr>
          <a:xfrm>
            <a:off x="127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8" name="$D$2">
            <a:extLst>
              <a:ext uri="{FF2B5EF4-FFF2-40B4-BE49-F238E27FC236}">
                <a16:creationId xmlns:a16="http://schemas.microsoft.com/office/drawing/2014/main" id="{78AF0AC0-B04A-4DED-8593-47041DB25756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9" name="$D$2">
            <a:extLst>
              <a:ext uri="{FF2B5EF4-FFF2-40B4-BE49-F238E27FC236}">
                <a16:creationId xmlns:a16="http://schemas.microsoft.com/office/drawing/2014/main" id="{2D3D256A-0810-4E8A-81D6-03C07B0F49CE}"/>
              </a:ext>
            </a:extLst>
          </xdr:cNvPr>
          <xdr:cNvSpPr/>
        </xdr:nvSpPr>
        <xdr:spPr>
          <a:xfrm>
            <a:off x="381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0" name="$D$2">
            <a:extLst>
              <a:ext uri="{FF2B5EF4-FFF2-40B4-BE49-F238E27FC236}">
                <a16:creationId xmlns:a16="http://schemas.microsoft.com/office/drawing/2014/main" id="{EB11A0A8-F3A2-4EF4-AC60-3F23BC754E8C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1" name="$D$2">
            <a:extLst>
              <a:ext uri="{FF2B5EF4-FFF2-40B4-BE49-F238E27FC236}">
                <a16:creationId xmlns:a16="http://schemas.microsoft.com/office/drawing/2014/main" id="{20A20C20-9DD0-482B-BA78-F75FF9B1E011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2" name="$D$2">
            <a:extLst>
              <a:ext uri="{FF2B5EF4-FFF2-40B4-BE49-F238E27FC236}">
                <a16:creationId xmlns:a16="http://schemas.microsoft.com/office/drawing/2014/main" id="{B6C42B43-24E5-4F58-9784-7F5F0B599EEC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3" name="$D$2">
            <a:extLst>
              <a:ext uri="{FF2B5EF4-FFF2-40B4-BE49-F238E27FC236}">
                <a16:creationId xmlns:a16="http://schemas.microsoft.com/office/drawing/2014/main" id="{B59FFB1E-E81B-4842-8B07-8032E44B8949}"/>
              </a:ext>
            </a:extLst>
          </xdr:cNvPr>
          <xdr:cNvSpPr/>
        </xdr:nvSpPr>
        <xdr:spPr>
          <a:xfrm>
            <a:off x="101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4" name="$D$2">
            <a:extLst>
              <a:ext uri="{FF2B5EF4-FFF2-40B4-BE49-F238E27FC236}">
                <a16:creationId xmlns:a16="http://schemas.microsoft.com/office/drawing/2014/main" id="{239E58E5-3917-482D-915C-368A0ACD0FFC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5" name="$D$2">
            <a:extLst>
              <a:ext uri="{FF2B5EF4-FFF2-40B4-BE49-F238E27FC236}">
                <a16:creationId xmlns:a16="http://schemas.microsoft.com/office/drawing/2014/main" id="{5DCCA5BC-D4AA-4A35-8AB6-3E6F21FDC424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6" name="$D$2">
            <a:extLst>
              <a:ext uri="{FF2B5EF4-FFF2-40B4-BE49-F238E27FC236}">
                <a16:creationId xmlns:a16="http://schemas.microsoft.com/office/drawing/2014/main" id="{92CC4A09-C82E-4476-98DE-E5C6A791916C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7" name="$D$2">
            <a:extLst>
              <a:ext uri="{FF2B5EF4-FFF2-40B4-BE49-F238E27FC236}">
                <a16:creationId xmlns:a16="http://schemas.microsoft.com/office/drawing/2014/main" id="{B92C54A2-AD6D-4336-8C81-93B7E3C59989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8" name="$D$2">
            <a:extLst>
              <a:ext uri="{FF2B5EF4-FFF2-40B4-BE49-F238E27FC236}">
                <a16:creationId xmlns:a16="http://schemas.microsoft.com/office/drawing/2014/main" id="{9054D4A1-23AB-479F-8C43-53A2F2168D61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9" name="$D$2">
            <a:extLst>
              <a:ext uri="{FF2B5EF4-FFF2-40B4-BE49-F238E27FC236}">
                <a16:creationId xmlns:a16="http://schemas.microsoft.com/office/drawing/2014/main" id="{CC722AD1-6FD5-4AEF-9FE2-51F900E8F307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0" name="$D$2">
            <a:extLst>
              <a:ext uri="{FF2B5EF4-FFF2-40B4-BE49-F238E27FC236}">
                <a16:creationId xmlns:a16="http://schemas.microsoft.com/office/drawing/2014/main" id="{A96E9133-00E6-48EF-817E-A48E06C7B49A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1" name="$D$2">
            <a:extLst>
              <a:ext uri="{FF2B5EF4-FFF2-40B4-BE49-F238E27FC236}">
                <a16:creationId xmlns:a16="http://schemas.microsoft.com/office/drawing/2014/main" id="{A847C34D-3D32-441F-AC80-77E6D473D8E5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2" name="$D$2">
            <a:extLst>
              <a:ext uri="{FF2B5EF4-FFF2-40B4-BE49-F238E27FC236}">
                <a16:creationId xmlns:a16="http://schemas.microsoft.com/office/drawing/2014/main" id="{45FE5635-9386-4991-92CC-24DFBC8E1A88}"/>
              </a:ext>
            </a:extLst>
          </xdr:cNvPr>
          <xdr:cNvSpPr/>
        </xdr:nvSpPr>
        <xdr:spPr>
          <a:xfrm>
            <a:off x="508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3" name="$D$2">
            <a:extLst>
              <a:ext uri="{FF2B5EF4-FFF2-40B4-BE49-F238E27FC236}">
                <a16:creationId xmlns:a16="http://schemas.microsoft.com/office/drawing/2014/main" id="{FA43405C-A2D9-4AD2-98F0-1F95E5765A78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4" name="$D$2">
            <a:extLst>
              <a:ext uri="{FF2B5EF4-FFF2-40B4-BE49-F238E27FC236}">
                <a16:creationId xmlns:a16="http://schemas.microsoft.com/office/drawing/2014/main" id="{E3A4B556-AB13-4104-816A-D6E837B43F6D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5" name="$D$2">
            <a:extLst>
              <a:ext uri="{FF2B5EF4-FFF2-40B4-BE49-F238E27FC236}">
                <a16:creationId xmlns:a16="http://schemas.microsoft.com/office/drawing/2014/main" id="{55547ACA-5CF1-4C6D-9BDF-F1DB83863D39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6" name="$D$2">
            <a:extLst>
              <a:ext uri="{FF2B5EF4-FFF2-40B4-BE49-F238E27FC236}">
                <a16:creationId xmlns:a16="http://schemas.microsoft.com/office/drawing/2014/main" id="{608CA7A0-9B33-4346-BDC6-E82ED2FE10EF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7" name="$D$2">
            <a:extLst>
              <a:ext uri="{FF2B5EF4-FFF2-40B4-BE49-F238E27FC236}">
                <a16:creationId xmlns:a16="http://schemas.microsoft.com/office/drawing/2014/main" id="{25912A23-9608-4865-B3B3-1ED2E6A55ED3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8" name="$D$2">
            <a:extLst>
              <a:ext uri="{FF2B5EF4-FFF2-40B4-BE49-F238E27FC236}">
                <a16:creationId xmlns:a16="http://schemas.microsoft.com/office/drawing/2014/main" id="{4026AA7E-EA74-4058-A755-B1AFCDD4EAEF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9" name="$D$2">
            <a:extLst>
              <a:ext uri="{FF2B5EF4-FFF2-40B4-BE49-F238E27FC236}">
                <a16:creationId xmlns:a16="http://schemas.microsoft.com/office/drawing/2014/main" id="{23A8D212-05AC-4C23-AFA9-6E13E34FE093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0" name="$D$2">
            <a:extLst>
              <a:ext uri="{FF2B5EF4-FFF2-40B4-BE49-F238E27FC236}">
                <a16:creationId xmlns:a16="http://schemas.microsoft.com/office/drawing/2014/main" id="{F427E6E1-E158-4C07-87D1-EB3B78A3A4D8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1" name="$D$2">
            <a:extLst>
              <a:ext uri="{FF2B5EF4-FFF2-40B4-BE49-F238E27FC236}">
                <a16:creationId xmlns:a16="http://schemas.microsoft.com/office/drawing/2014/main" id="{FE1E363C-A72A-4C3D-B7F6-EEF39BBCFCA9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2" name="$D$2">
            <a:extLst>
              <a:ext uri="{FF2B5EF4-FFF2-40B4-BE49-F238E27FC236}">
                <a16:creationId xmlns:a16="http://schemas.microsoft.com/office/drawing/2014/main" id="{0347D077-9C9A-4A63-B052-7FE608691EC9}"/>
              </a:ext>
            </a:extLst>
          </xdr:cNvPr>
          <xdr:cNvSpPr/>
        </xdr:nvSpPr>
        <xdr:spPr>
          <a:xfrm>
            <a:off x="38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3" name="$D$2">
            <a:extLst>
              <a:ext uri="{FF2B5EF4-FFF2-40B4-BE49-F238E27FC236}">
                <a16:creationId xmlns:a16="http://schemas.microsoft.com/office/drawing/2014/main" id="{9555EAB0-843E-4EB4-9F11-260C3D6D46E2}"/>
              </a:ext>
            </a:extLst>
          </xdr:cNvPr>
          <xdr:cNvSpPr/>
        </xdr:nvSpPr>
        <xdr:spPr>
          <a:xfrm>
            <a:off x="889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4" name="$D$2">
            <a:extLst>
              <a:ext uri="{FF2B5EF4-FFF2-40B4-BE49-F238E27FC236}">
                <a16:creationId xmlns:a16="http://schemas.microsoft.com/office/drawing/2014/main" id="{4CB334AA-2B20-47B9-95AC-6509AFAC6818}"/>
              </a:ext>
            </a:extLst>
          </xdr:cNvPr>
          <xdr:cNvSpPr/>
        </xdr:nvSpPr>
        <xdr:spPr>
          <a:xfrm>
            <a:off x="63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5" name="$D$2">
            <a:extLst>
              <a:ext uri="{FF2B5EF4-FFF2-40B4-BE49-F238E27FC236}">
                <a16:creationId xmlns:a16="http://schemas.microsoft.com/office/drawing/2014/main" id="{E5944AB1-3E03-4A44-AFEF-D95153CB9D0F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6" name="$D$2">
            <a:extLst>
              <a:ext uri="{FF2B5EF4-FFF2-40B4-BE49-F238E27FC236}">
                <a16:creationId xmlns:a16="http://schemas.microsoft.com/office/drawing/2014/main" id="{C6167E87-BB38-4F56-951B-A9C0D51A1D2C}"/>
              </a:ext>
            </a:extLst>
          </xdr:cNvPr>
          <xdr:cNvSpPr/>
        </xdr:nvSpPr>
        <xdr:spPr>
          <a:xfrm>
            <a:off x="889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7" name="$D$2">
            <a:extLst>
              <a:ext uri="{FF2B5EF4-FFF2-40B4-BE49-F238E27FC236}">
                <a16:creationId xmlns:a16="http://schemas.microsoft.com/office/drawing/2014/main" id="{88B7FC8D-8B4A-4BF5-956A-A1A84BDFE81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8" name="$D$2">
            <a:extLst>
              <a:ext uri="{FF2B5EF4-FFF2-40B4-BE49-F238E27FC236}">
                <a16:creationId xmlns:a16="http://schemas.microsoft.com/office/drawing/2014/main" id="{19347724-11B7-45B4-A0AE-A2130BEF8939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9" name="$D$2">
            <a:extLst>
              <a:ext uri="{FF2B5EF4-FFF2-40B4-BE49-F238E27FC236}">
                <a16:creationId xmlns:a16="http://schemas.microsoft.com/office/drawing/2014/main" id="{FE52B15E-3C07-4E40-A85C-C29E5748F236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40" name="$D$2">
            <a:extLst>
              <a:ext uri="{FF2B5EF4-FFF2-40B4-BE49-F238E27FC236}">
                <a16:creationId xmlns:a16="http://schemas.microsoft.com/office/drawing/2014/main" id="{7F8EB970-5D38-42F2-8479-26EB57EC829D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41" name="$D$2">
            <a:extLst>
              <a:ext uri="{FF2B5EF4-FFF2-40B4-BE49-F238E27FC236}">
                <a16:creationId xmlns:a16="http://schemas.microsoft.com/office/drawing/2014/main" id="{1893732C-A5C2-4620-AA5C-AF136CEBAA93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42" name="$D$2">
            <a:extLst>
              <a:ext uri="{FF2B5EF4-FFF2-40B4-BE49-F238E27FC236}">
                <a16:creationId xmlns:a16="http://schemas.microsoft.com/office/drawing/2014/main" id="{9AC13AD6-466D-49B8-8A6E-D5225FDE45A7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43" name="$D$2">
            <a:extLst>
              <a:ext uri="{FF2B5EF4-FFF2-40B4-BE49-F238E27FC236}">
                <a16:creationId xmlns:a16="http://schemas.microsoft.com/office/drawing/2014/main" id="{A56CB7E9-B949-4466-8EA4-5719DD29C657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44" name="$D$2">
            <a:extLst>
              <a:ext uri="{FF2B5EF4-FFF2-40B4-BE49-F238E27FC236}">
                <a16:creationId xmlns:a16="http://schemas.microsoft.com/office/drawing/2014/main" id="{ECA13E63-3B94-4765-B53B-1D64BFA65133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45" name="$D$2">
            <a:extLst>
              <a:ext uri="{FF2B5EF4-FFF2-40B4-BE49-F238E27FC236}">
                <a16:creationId xmlns:a16="http://schemas.microsoft.com/office/drawing/2014/main" id="{8F2457B6-A69B-4630-AA7F-2C5E2BE4D35A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14963</xdr:colOff>
      <xdr:row>0</xdr:row>
      <xdr:rowOff>14963</xdr:rowOff>
    </xdr:from>
    <xdr:to>
      <xdr:col>4</xdr:col>
      <xdr:colOff>1630957</xdr:colOff>
      <xdr:row>0</xdr:row>
      <xdr:rowOff>1409977</xdr:rowOff>
    </xdr:to>
    <xdr:grpSp>
      <xdr:nvGrpSpPr>
        <xdr:cNvPr id="42875" name="$E$1" descr="Code128 barcode, 9 characters" title="123456789">
          <a:extLst>
            <a:ext uri="{FF2B5EF4-FFF2-40B4-BE49-F238E27FC236}">
              <a16:creationId xmlns:a16="http://schemas.microsoft.com/office/drawing/2014/main" id="{1B637D85-F078-4B3D-A4AD-3046728F156D}"/>
            </a:ext>
          </a:extLst>
        </xdr:cNvPr>
        <xdr:cNvGrpSpPr/>
      </xdr:nvGrpSpPr>
      <xdr:grpSpPr>
        <a:xfrm>
          <a:off x="6446243" y="14963"/>
          <a:ext cx="1615994" cy="1395014"/>
          <a:chOff x="0" y="0"/>
          <a:chExt cx="1282700" cy="12700"/>
        </a:xfrm>
        <a:solidFill>
          <a:srgbClr val="000000"/>
        </a:solidFill>
      </xdr:grpSpPr>
      <xdr:sp macro="" textlink="">
        <xdr:nvSpPr>
          <xdr:cNvPr id="42847" name="$E$1">
            <a:extLst>
              <a:ext uri="{FF2B5EF4-FFF2-40B4-BE49-F238E27FC236}">
                <a16:creationId xmlns:a16="http://schemas.microsoft.com/office/drawing/2014/main" id="{663B491C-FF23-4549-94F9-F18356C6C6F2}"/>
              </a:ext>
            </a:extLst>
          </xdr:cNvPr>
          <xdr:cNvSpPr/>
        </xdr:nvSpPr>
        <xdr:spPr>
          <a:xfrm>
            <a:off x="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48" name="$E$1">
            <a:extLst>
              <a:ext uri="{FF2B5EF4-FFF2-40B4-BE49-F238E27FC236}">
                <a16:creationId xmlns:a16="http://schemas.microsoft.com/office/drawing/2014/main" id="{123266AA-DBFC-4C67-A06C-9D8BA1D6A313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49" name="$E$1">
            <a:extLst>
              <a:ext uri="{FF2B5EF4-FFF2-40B4-BE49-F238E27FC236}">
                <a16:creationId xmlns:a16="http://schemas.microsoft.com/office/drawing/2014/main" id="{514A66E5-B7E4-474B-A7A5-4581893F6614}"/>
              </a:ext>
            </a:extLst>
          </xdr:cNvPr>
          <xdr:cNvSpPr/>
        </xdr:nvSpPr>
        <xdr:spPr>
          <a:xfrm>
            <a:off x="762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0" name="$E$1">
            <a:extLst>
              <a:ext uri="{FF2B5EF4-FFF2-40B4-BE49-F238E27FC236}">
                <a16:creationId xmlns:a16="http://schemas.microsoft.com/office/drawing/2014/main" id="{75593865-5898-413F-8A50-D2A1B4C9D10A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1" name="$E$1">
            <a:extLst>
              <a:ext uri="{FF2B5EF4-FFF2-40B4-BE49-F238E27FC236}">
                <a16:creationId xmlns:a16="http://schemas.microsoft.com/office/drawing/2014/main" id="{17BD4E9A-2BB1-4B53-B0E9-B0F32CA04EAA}"/>
              </a:ext>
            </a:extLst>
          </xdr:cNvPr>
          <xdr:cNvSpPr/>
        </xdr:nvSpPr>
        <xdr:spPr>
          <a:xfrm>
            <a:off x="1651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2" name="$E$1">
            <a:extLst>
              <a:ext uri="{FF2B5EF4-FFF2-40B4-BE49-F238E27FC236}">
                <a16:creationId xmlns:a16="http://schemas.microsoft.com/office/drawing/2014/main" id="{BCCE5B84-3791-4737-ACA3-E965BE4FAE25}"/>
              </a:ext>
            </a:extLst>
          </xdr:cNvPr>
          <xdr:cNvSpPr/>
        </xdr:nvSpPr>
        <xdr:spPr>
          <a:xfrm>
            <a:off x="2159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3" name="$E$1">
            <a:extLst>
              <a:ext uri="{FF2B5EF4-FFF2-40B4-BE49-F238E27FC236}">
                <a16:creationId xmlns:a16="http://schemas.microsoft.com/office/drawing/2014/main" id="{84802E2C-9D9C-40BC-9337-872885E3CAF6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4" name="$E$1">
            <a:extLst>
              <a:ext uri="{FF2B5EF4-FFF2-40B4-BE49-F238E27FC236}">
                <a16:creationId xmlns:a16="http://schemas.microsoft.com/office/drawing/2014/main" id="{42C2672D-EF03-4A5D-99CC-C37A32DA1523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5" name="$E$1">
            <a:extLst>
              <a:ext uri="{FF2B5EF4-FFF2-40B4-BE49-F238E27FC236}">
                <a16:creationId xmlns:a16="http://schemas.microsoft.com/office/drawing/2014/main" id="{D0FDC81B-1614-4E9B-BA00-E526590A97B1}"/>
              </a:ext>
            </a:extLst>
          </xdr:cNvPr>
          <xdr:cNvSpPr/>
        </xdr:nvSpPr>
        <xdr:spPr>
          <a:xfrm>
            <a:off x="3556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6" name="$E$1">
            <a:extLst>
              <a:ext uri="{FF2B5EF4-FFF2-40B4-BE49-F238E27FC236}">
                <a16:creationId xmlns:a16="http://schemas.microsoft.com/office/drawing/2014/main" id="{895509CB-07BA-4B46-99BA-02DE43549455}"/>
              </a:ext>
            </a:extLst>
          </xdr:cNvPr>
          <xdr:cNvSpPr/>
        </xdr:nvSpPr>
        <xdr:spPr>
          <a:xfrm>
            <a:off x="4191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7" name="$E$1">
            <a:extLst>
              <a:ext uri="{FF2B5EF4-FFF2-40B4-BE49-F238E27FC236}">
                <a16:creationId xmlns:a16="http://schemas.microsoft.com/office/drawing/2014/main" id="{9A562D0D-0081-419C-A2D0-FE58F749EB35}"/>
              </a:ext>
            </a:extLst>
          </xdr:cNvPr>
          <xdr:cNvSpPr/>
        </xdr:nvSpPr>
        <xdr:spPr>
          <a:xfrm>
            <a:off x="4953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8" name="$E$1">
            <a:extLst>
              <a:ext uri="{FF2B5EF4-FFF2-40B4-BE49-F238E27FC236}">
                <a16:creationId xmlns:a16="http://schemas.microsoft.com/office/drawing/2014/main" id="{44E00064-7ED1-40C2-800A-1523516FA534}"/>
              </a:ext>
            </a:extLst>
          </xdr:cNvPr>
          <xdr:cNvSpPr/>
        </xdr:nvSpPr>
        <xdr:spPr>
          <a:xfrm>
            <a:off x="5207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9" name="$E$1">
            <a:extLst>
              <a:ext uri="{FF2B5EF4-FFF2-40B4-BE49-F238E27FC236}">
                <a16:creationId xmlns:a16="http://schemas.microsoft.com/office/drawing/2014/main" id="{4FD89014-2040-479E-9636-6CC979D64F2D}"/>
              </a:ext>
            </a:extLst>
          </xdr:cNvPr>
          <xdr:cNvSpPr/>
        </xdr:nvSpPr>
        <xdr:spPr>
          <a:xfrm>
            <a:off x="5588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0" name="$E$1">
            <a:extLst>
              <a:ext uri="{FF2B5EF4-FFF2-40B4-BE49-F238E27FC236}">
                <a16:creationId xmlns:a16="http://schemas.microsoft.com/office/drawing/2014/main" id="{F87DE873-BE82-42D7-8418-A2624787DF9D}"/>
              </a:ext>
            </a:extLst>
          </xdr:cNvPr>
          <xdr:cNvSpPr/>
        </xdr:nvSpPr>
        <xdr:spPr>
          <a:xfrm>
            <a:off x="6350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1" name="$E$1">
            <a:extLst>
              <a:ext uri="{FF2B5EF4-FFF2-40B4-BE49-F238E27FC236}">
                <a16:creationId xmlns:a16="http://schemas.microsoft.com/office/drawing/2014/main" id="{CF88A52F-5FFA-43E7-9E60-D15580C2B7B3}"/>
              </a:ext>
            </a:extLst>
          </xdr:cNvPr>
          <xdr:cNvSpPr/>
        </xdr:nvSpPr>
        <xdr:spPr>
          <a:xfrm>
            <a:off x="6604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2" name="$E$1">
            <a:extLst>
              <a:ext uri="{FF2B5EF4-FFF2-40B4-BE49-F238E27FC236}">
                <a16:creationId xmlns:a16="http://schemas.microsoft.com/office/drawing/2014/main" id="{27EA96AC-6DB3-45B5-97E4-432DC9623040}"/>
              </a:ext>
            </a:extLst>
          </xdr:cNvPr>
          <xdr:cNvSpPr/>
        </xdr:nvSpPr>
        <xdr:spPr>
          <a:xfrm>
            <a:off x="6985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3" name="$E$1">
            <a:extLst>
              <a:ext uri="{FF2B5EF4-FFF2-40B4-BE49-F238E27FC236}">
                <a16:creationId xmlns:a16="http://schemas.microsoft.com/office/drawing/2014/main" id="{76B00438-8CD3-4523-9D32-ABE7707B7F06}"/>
              </a:ext>
            </a:extLst>
          </xdr:cNvPr>
          <xdr:cNvSpPr/>
        </xdr:nvSpPr>
        <xdr:spPr>
          <a:xfrm>
            <a:off x="723900" y="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4" name="$E$1">
            <a:extLst>
              <a:ext uri="{FF2B5EF4-FFF2-40B4-BE49-F238E27FC236}">
                <a16:creationId xmlns:a16="http://schemas.microsoft.com/office/drawing/2014/main" id="{8E984841-A9BB-4158-AE59-6D0A16293FE7}"/>
              </a:ext>
            </a:extLst>
          </xdr:cNvPr>
          <xdr:cNvSpPr/>
        </xdr:nvSpPr>
        <xdr:spPr>
          <a:xfrm>
            <a:off x="7874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5" name="$E$1">
            <a:extLst>
              <a:ext uri="{FF2B5EF4-FFF2-40B4-BE49-F238E27FC236}">
                <a16:creationId xmlns:a16="http://schemas.microsoft.com/office/drawing/2014/main" id="{D10C7A35-6D88-422D-9F6C-10079CA66A43}"/>
              </a:ext>
            </a:extLst>
          </xdr:cNvPr>
          <xdr:cNvSpPr/>
        </xdr:nvSpPr>
        <xdr:spPr>
          <a:xfrm>
            <a:off x="8382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6" name="$E$1">
            <a:extLst>
              <a:ext uri="{FF2B5EF4-FFF2-40B4-BE49-F238E27FC236}">
                <a16:creationId xmlns:a16="http://schemas.microsoft.com/office/drawing/2014/main" id="{C0744397-284A-4D09-A706-88AADBD96D42}"/>
              </a:ext>
            </a:extLst>
          </xdr:cNvPr>
          <xdr:cNvSpPr/>
        </xdr:nvSpPr>
        <xdr:spPr>
          <a:xfrm>
            <a:off x="9017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7" name="$E$1">
            <a:extLst>
              <a:ext uri="{FF2B5EF4-FFF2-40B4-BE49-F238E27FC236}">
                <a16:creationId xmlns:a16="http://schemas.microsoft.com/office/drawing/2014/main" id="{DE43611F-3ABA-4E20-BBAB-88A94B0E8D6D}"/>
              </a:ext>
            </a:extLst>
          </xdr:cNvPr>
          <xdr:cNvSpPr/>
        </xdr:nvSpPr>
        <xdr:spPr>
          <a:xfrm>
            <a:off x="9271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8" name="$E$1">
            <a:extLst>
              <a:ext uri="{FF2B5EF4-FFF2-40B4-BE49-F238E27FC236}">
                <a16:creationId xmlns:a16="http://schemas.microsoft.com/office/drawing/2014/main" id="{1D52C230-FFAA-4271-A5B8-D9664736A4CB}"/>
              </a:ext>
            </a:extLst>
          </xdr:cNvPr>
          <xdr:cNvSpPr/>
        </xdr:nvSpPr>
        <xdr:spPr>
          <a:xfrm>
            <a:off x="9779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9" name="$E$1">
            <a:extLst>
              <a:ext uri="{FF2B5EF4-FFF2-40B4-BE49-F238E27FC236}">
                <a16:creationId xmlns:a16="http://schemas.microsoft.com/office/drawing/2014/main" id="{E0B2668F-4D1A-4696-9B7F-885B6CF58DE2}"/>
              </a:ext>
            </a:extLst>
          </xdr:cNvPr>
          <xdr:cNvSpPr/>
        </xdr:nvSpPr>
        <xdr:spPr>
          <a:xfrm>
            <a:off x="1028700" y="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70" name="$E$1">
            <a:extLst>
              <a:ext uri="{FF2B5EF4-FFF2-40B4-BE49-F238E27FC236}">
                <a16:creationId xmlns:a16="http://schemas.microsoft.com/office/drawing/2014/main" id="{66D22A42-7E83-452F-8CE5-D31534EAB358}"/>
              </a:ext>
            </a:extLst>
          </xdr:cNvPr>
          <xdr:cNvSpPr/>
        </xdr:nvSpPr>
        <xdr:spPr>
          <a:xfrm>
            <a:off x="10922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71" name="$E$1">
            <a:extLst>
              <a:ext uri="{FF2B5EF4-FFF2-40B4-BE49-F238E27FC236}">
                <a16:creationId xmlns:a16="http://schemas.microsoft.com/office/drawing/2014/main" id="{00DE75D8-4C09-4536-A594-CA80258C7B7D}"/>
              </a:ext>
            </a:extLst>
          </xdr:cNvPr>
          <xdr:cNvSpPr/>
        </xdr:nvSpPr>
        <xdr:spPr>
          <a:xfrm>
            <a:off x="11176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72" name="$E$1">
            <a:extLst>
              <a:ext uri="{FF2B5EF4-FFF2-40B4-BE49-F238E27FC236}">
                <a16:creationId xmlns:a16="http://schemas.microsoft.com/office/drawing/2014/main" id="{321F5A63-DF19-4624-AEBC-00E14DE0893F}"/>
              </a:ext>
            </a:extLst>
          </xdr:cNvPr>
          <xdr:cNvSpPr/>
        </xdr:nvSpPr>
        <xdr:spPr>
          <a:xfrm>
            <a:off x="11811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73" name="$E$1">
            <a:extLst>
              <a:ext uri="{FF2B5EF4-FFF2-40B4-BE49-F238E27FC236}">
                <a16:creationId xmlns:a16="http://schemas.microsoft.com/office/drawing/2014/main" id="{B64645AC-1FD3-4BBE-ADBA-3A83F94439D9}"/>
              </a:ext>
            </a:extLst>
          </xdr:cNvPr>
          <xdr:cNvSpPr/>
        </xdr:nvSpPr>
        <xdr:spPr>
          <a:xfrm>
            <a:off x="12319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74" name="$E$1">
            <a:extLst>
              <a:ext uri="{FF2B5EF4-FFF2-40B4-BE49-F238E27FC236}">
                <a16:creationId xmlns:a16="http://schemas.microsoft.com/office/drawing/2014/main" id="{7811FC8D-E7AE-4715-A5D7-F5C008537602}"/>
              </a:ext>
            </a:extLst>
          </xdr:cNvPr>
          <xdr:cNvSpPr/>
        </xdr:nvSpPr>
        <xdr:spPr>
          <a:xfrm>
            <a:off x="12573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19139</xdr:colOff>
      <xdr:row>1</xdr:row>
      <xdr:rowOff>19139</xdr:rowOff>
    </xdr:from>
    <xdr:to>
      <xdr:col>4</xdr:col>
      <xdr:colOff>1626782</xdr:colOff>
      <xdr:row>1</xdr:row>
      <xdr:rowOff>1421042</xdr:rowOff>
    </xdr:to>
    <xdr:grpSp>
      <xdr:nvGrpSpPr>
        <xdr:cNvPr id="42898" name="$E$2" descr="Code128 barcode, 7 characters" title="test">
          <a:extLst>
            <a:ext uri="{FF2B5EF4-FFF2-40B4-BE49-F238E27FC236}">
              <a16:creationId xmlns:a16="http://schemas.microsoft.com/office/drawing/2014/main" id="{BC8B7C5A-7C66-4092-8D66-99B0372BBFB7}"/>
            </a:ext>
          </a:extLst>
        </xdr:cNvPr>
        <xdr:cNvGrpSpPr/>
      </xdr:nvGrpSpPr>
      <xdr:grpSpPr>
        <a:xfrm>
          <a:off x="6450419" y="1444079"/>
          <a:ext cx="1607643" cy="1401903"/>
          <a:chOff x="0" y="0"/>
          <a:chExt cx="1003300" cy="12700"/>
        </a:xfrm>
        <a:solidFill>
          <a:srgbClr val="000000"/>
        </a:solidFill>
      </xdr:grpSpPr>
      <xdr:sp macro="" textlink="">
        <xdr:nvSpPr>
          <xdr:cNvPr id="42876" name="$E$2">
            <a:extLst>
              <a:ext uri="{FF2B5EF4-FFF2-40B4-BE49-F238E27FC236}">
                <a16:creationId xmlns:a16="http://schemas.microsoft.com/office/drawing/2014/main" id="{7E8D4124-1ACB-4CB9-A847-496E73C02EEC}"/>
              </a:ext>
            </a:extLst>
          </xdr:cNvPr>
          <xdr:cNvSpPr/>
        </xdr:nvSpPr>
        <xdr:spPr>
          <a:xfrm>
            <a:off x="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77" name="$E$2">
            <a:extLst>
              <a:ext uri="{FF2B5EF4-FFF2-40B4-BE49-F238E27FC236}">
                <a16:creationId xmlns:a16="http://schemas.microsoft.com/office/drawing/2014/main" id="{0CDF9D7B-219C-4D81-8ACE-8D7461AFB32E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78" name="$E$2">
            <a:extLst>
              <a:ext uri="{FF2B5EF4-FFF2-40B4-BE49-F238E27FC236}">
                <a16:creationId xmlns:a16="http://schemas.microsoft.com/office/drawing/2014/main" id="{DF0F4635-FE3F-4602-BBB6-2923CE6AA155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79" name="$E$2">
            <a:extLst>
              <a:ext uri="{FF2B5EF4-FFF2-40B4-BE49-F238E27FC236}">
                <a16:creationId xmlns:a16="http://schemas.microsoft.com/office/drawing/2014/main" id="{ED0033BE-70DA-4D8E-A530-402FCBDF3CAA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0" name="$E$2">
            <a:extLst>
              <a:ext uri="{FF2B5EF4-FFF2-40B4-BE49-F238E27FC236}">
                <a16:creationId xmlns:a16="http://schemas.microsoft.com/office/drawing/2014/main" id="{EECC4A65-261D-4BB4-B2DC-02E2059A38BF}"/>
              </a:ext>
            </a:extLst>
          </xdr:cNvPr>
          <xdr:cNvSpPr/>
        </xdr:nvSpPr>
        <xdr:spPr>
          <a:xfrm>
            <a:off x="177800" y="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1" name="$E$2">
            <a:extLst>
              <a:ext uri="{FF2B5EF4-FFF2-40B4-BE49-F238E27FC236}">
                <a16:creationId xmlns:a16="http://schemas.microsoft.com/office/drawing/2014/main" id="{7FB2D01C-C4A3-429F-8A10-504F2B20B604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2" name="$E$2">
            <a:extLst>
              <a:ext uri="{FF2B5EF4-FFF2-40B4-BE49-F238E27FC236}">
                <a16:creationId xmlns:a16="http://schemas.microsoft.com/office/drawing/2014/main" id="{9E6BE957-30B0-4E42-A10E-058D38AFE8BC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3" name="$E$2">
            <a:extLst>
              <a:ext uri="{FF2B5EF4-FFF2-40B4-BE49-F238E27FC236}">
                <a16:creationId xmlns:a16="http://schemas.microsoft.com/office/drawing/2014/main" id="{DD809C30-8EEC-47CC-8815-E8D7C75033A9}"/>
              </a:ext>
            </a:extLst>
          </xdr:cNvPr>
          <xdr:cNvSpPr/>
        </xdr:nvSpPr>
        <xdr:spPr>
          <a:xfrm>
            <a:off x="3048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4" name="$E$2">
            <a:extLst>
              <a:ext uri="{FF2B5EF4-FFF2-40B4-BE49-F238E27FC236}">
                <a16:creationId xmlns:a16="http://schemas.microsoft.com/office/drawing/2014/main" id="{70A3B2C5-1E92-4A46-A547-EB4D8AC2282D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5" name="$E$2">
            <a:extLst>
              <a:ext uri="{FF2B5EF4-FFF2-40B4-BE49-F238E27FC236}">
                <a16:creationId xmlns:a16="http://schemas.microsoft.com/office/drawing/2014/main" id="{1271BDDE-AAF5-4529-AA64-4D994DDA52AF}"/>
              </a:ext>
            </a:extLst>
          </xdr:cNvPr>
          <xdr:cNvSpPr/>
        </xdr:nvSpPr>
        <xdr:spPr>
          <a:xfrm>
            <a:off x="4191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6" name="$E$2">
            <a:extLst>
              <a:ext uri="{FF2B5EF4-FFF2-40B4-BE49-F238E27FC236}">
                <a16:creationId xmlns:a16="http://schemas.microsoft.com/office/drawing/2014/main" id="{146F454C-6769-45EF-A1F5-3F2E8B8DDE71}"/>
              </a:ext>
            </a:extLst>
          </xdr:cNvPr>
          <xdr:cNvSpPr/>
        </xdr:nvSpPr>
        <xdr:spPr>
          <a:xfrm>
            <a:off x="444500" y="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7" name="$E$2">
            <a:extLst>
              <a:ext uri="{FF2B5EF4-FFF2-40B4-BE49-F238E27FC236}">
                <a16:creationId xmlns:a16="http://schemas.microsoft.com/office/drawing/2014/main" id="{5688D122-DAE8-4FE5-A3A2-8CF3D5648B98}"/>
              </a:ext>
            </a:extLst>
          </xdr:cNvPr>
          <xdr:cNvSpPr/>
        </xdr:nvSpPr>
        <xdr:spPr>
          <a:xfrm>
            <a:off x="5207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8" name="$E$2">
            <a:extLst>
              <a:ext uri="{FF2B5EF4-FFF2-40B4-BE49-F238E27FC236}">
                <a16:creationId xmlns:a16="http://schemas.microsoft.com/office/drawing/2014/main" id="{114EC9B1-BFF0-4900-90BC-10F8D017EE3D}"/>
              </a:ext>
            </a:extLst>
          </xdr:cNvPr>
          <xdr:cNvSpPr/>
        </xdr:nvSpPr>
        <xdr:spPr>
          <a:xfrm>
            <a:off x="5588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9" name="$E$2">
            <a:extLst>
              <a:ext uri="{FF2B5EF4-FFF2-40B4-BE49-F238E27FC236}">
                <a16:creationId xmlns:a16="http://schemas.microsoft.com/office/drawing/2014/main" id="{024CCF0B-24C3-44BF-A5A9-19F0947A61C2}"/>
              </a:ext>
            </a:extLst>
          </xdr:cNvPr>
          <xdr:cNvSpPr/>
        </xdr:nvSpPr>
        <xdr:spPr>
          <a:xfrm>
            <a:off x="596900" y="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90" name="$E$2">
            <a:extLst>
              <a:ext uri="{FF2B5EF4-FFF2-40B4-BE49-F238E27FC236}">
                <a16:creationId xmlns:a16="http://schemas.microsoft.com/office/drawing/2014/main" id="{1D013F0E-BD1D-499F-8E38-994F2FD90654}"/>
              </a:ext>
            </a:extLst>
          </xdr:cNvPr>
          <xdr:cNvSpPr/>
        </xdr:nvSpPr>
        <xdr:spPr>
          <a:xfrm>
            <a:off x="6604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91" name="$E$2">
            <a:extLst>
              <a:ext uri="{FF2B5EF4-FFF2-40B4-BE49-F238E27FC236}">
                <a16:creationId xmlns:a16="http://schemas.microsoft.com/office/drawing/2014/main" id="{B3CD6BFF-AFE7-42B5-B897-0582253E9671}"/>
              </a:ext>
            </a:extLst>
          </xdr:cNvPr>
          <xdr:cNvSpPr/>
        </xdr:nvSpPr>
        <xdr:spPr>
          <a:xfrm>
            <a:off x="698500" y="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92" name="$E$2">
            <a:extLst>
              <a:ext uri="{FF2B5EF4-FFF2-40B4-BE49-F238E27FC236}">
                <a16:creationId xmlns:a16="http://schemas.microsoft.com/office/drawing/2014/main" id="{9D5E6486-1478-422F-A50B-B32C5530C358}"/>
              </a:ext>
            </a:extLst>
          </xdr:cNvPr>
          <xdr:cNvSpPr/>
        </xdr:nvSpPr>
        <xdr:spPr>
          <a:xfrm>
            <a:off x="7747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93" name="$E$2">
            <a:extLst>
              <a:ext uri="{FF2B5EF4-FFF2-40B4-BE49-F238E27FC236}">
                <a16:creationId xmlns:a16="http://schemas.microsoft.com/office/drawing/2014/main" id="{744157DC-9614-4A44-B82A-E78A3D82B4C6}"/>
              </a:ext>
            </a:extLst>
          </xdr:cNvPr>
          <xdr:cNvSpPr/>
        </xdr:nvSpPr>
        <xdr:spPr>
          <a:xfrm>
            <a:off x="8001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94" name="$E$2">
            <a:extLst>
              <a:ext uri="{FF2B5EF4-FFF2-40B4-BE49-F238E27FC236}">
                <a16:creationId xmlns:a16="http://schemas.microsoft.com/office/drawing/2014/main" id="{E0A929F6-73AA-48B0-9035-7EF7D6117F97}"/>
              </a:ext>
            </a:extLst>
          </xdr:cNvPr>
          <xdr:cNvSpPr/>
        </xdr:nvSpPr>
        <xdr:spPr>
          <a:xfrm>
            <a:off x="8382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95" name="$E$2">
            <a:extLst>
              <a:ext uri="{FF2B5EF4-FFF2-40B4-BE49-F238E27FC236}">
                <a16:creationId xmlns:a16="http://schemas.microsoft.com/office/drawing/2014/main" id="{51D7E8AC-0EF9-424F-B090-F329F6F07846}"/>
              </a:ext>
            </a:extLst>
          </xdr:cNvPr>
          <xdr:cNvSpPr/>
        </xdr:nvSpPr>
        <xdr:spPr>
          <a:xfrm>
            <a:off x="9017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96" name="$E$2">
            <a:extLst>
              <a:ext uri="{FF2B5EF4-FFF2-40B4-BE49-F238E27FC236}">
                <a16:creationId xmlns:a16="http://schemas.microsoft.com/office/drawing/2014/main" id="{A18EC121-DF10-47F2-8C60-8962DA8ADAAA}"/>
              </a:ext>
            </a:extLst>
          </xdr:cNvPr>
          <xdr:cNvSpPr/>
        </xdr:nvSpPr>
        <xdr:spPr>
          <a:xfrm>
            <a:off x="9525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97" name="$E$2">
            <a:extLst>
              <a:ext uri="{FF2B5EF4-FFF2-40B4-BE49-F238E27FC236}">
                <a16:creationId xmlns:a16="http://schemas.microsoft.com/office/drawing/2014/main" id="{DFC32D53-4AC9-4B09-B44C-F4A478414BE9}"/>
              </a:ext>
            </a:extLst>
          </xdr:cNvPr>
          <xdr:cNvSpPr/>
        </xdr:nvSpPr>
        <xdr:spPr>
          <a:xfrm>
            <a:off x="9779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5</xdr:col>
      <xdr:colOff>76200</xdr:colOff>
      <xdr:row>0</xdr:row>
      <xdr:rowOff>140970</xdr:rowOff>
    </xdr:from>
    <xdr:to>
      <xdr:col>5</xdr:col>
      <xdr:colOff>1219200</xdr:colOff>
      <xdr:row>0</xdr:row>
      <xdr:rowOff>1283970</xdr:rowOff>
    </xdr:to>
    <xdr:grpSp>
      <xdr:nvGrpSpPr>
        <xdr:cNvPr id="43020" name="$F$1" descr="Aztec compact barcode, security 59%, layers 1, 15x15 cells" title="123456789">
          <a:extLst>
            <a:ext uri="{FF2B5EF4-FFF2-40B4-BE49-F238E27FC236}">
              <a16:creationId xmlns:a16="http://schemas.microsoft.com/office/drawing/2014/main" id="{770575F6-ABB8-44E0-801C-D343A579E46B}"/>
            </a:ext>
          </a:extLst>
        </xdr:cNvPr>
        <xdr:cNvGrpSpPr>
          <a:grpSpLocks noChangeAspect="1"/>
        </xdr:cNvGrpSpPr>
      </xdr:nvGrpSpPr>
      <xdr:grpSpPr>
        <a:xfrm>
          <a:off x="8153400" y="140970"/>
          <a:ext cx="1143000" cy="1143000"/>
          <a:chOff x="0" y="0"/>
          <a:chExt cx="190500" cy="190500"/>
        </a:xfrm>
        <a:solidFill>
          <a:srgbClr val="000000"/>
        </a:solidFill>
      </xdr:grpSpPr>
      <xdr:sp macro="" textlink="">
        <xdr:nvSpPr>
          <xdr:cNvPr id="42899" name="$F$1">
            <a:extLst>
              <a:ext uri="{FF2B5EF4-FFF2-40B4-BE49-F238E27FC236}">
                <a16:creationId xmlns:a16="http://schemas.microsoft.com/office/drawing/2014/main" id="{132AA3FD-6105-4AF0-81D1-4DB4D0D7A30B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0" name="$F$1">
            <a:extLst>
              <a:ext uri="{FF2B5EF4-FFF2-40B4-BE49-F238E27FC236}">
                <a16:creationId xmlns:a16="http://schemas.microsoft.com/office/drawing/2014/main" id="{1AC2C03E-5865-4E40-9267-EE370C6B8781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1" name="$F$1">
            <a:extLst>
              <a:ext uri="{FF2B5EF4-FFF2-40B4-BE49-F238E27FC236}">
                <a16:creationId xmlns:a16="http://schemas.microsoft.com/office/drawing/2014/main" id="{885562A1-3F20-4CDE-AAB1-543E2EE9515A}"/>
              </a:ext>
            </a:extLst>
          </xdr:cNvPr>
          <xdr:cNvSpPr/>
        </xdr:nvSpPr>
        <xdr:spPr>
          <a:xfrm>
            <a:off x="63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2" name="$F$1">
            <a:extLst>
              <a:ext uri="{FF2B5EF4-FFF2-40B4-BE49-F238E27FC236}">
                <a16:creationId xmlns:a16="http://schemas.microsoft.com/office/drawing/2014/main" id="{0AD9E2EE-3D47-429F-B681-226233B0414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3" name="$F$1">
            <a:extLst>
              <a:ext uri="{FF2B5EF4-FFF2-40B4-BE49-F238E27FC236}">
                <a16:creationId xmlns:a16="http://schemas.microsoft.com/office/drawing/2014/main" id="{73EDBB9F-43A1-479B-8C81-0532DF3807B5}"/>
              </a:ext>
            </a:extLst>
          </xdr:cNvPr>
          <xdr:cNvSpPr/>
        </xdr:nvSpPr>
        <xdr:spPr>
          <a:xfrm>
            <a:off x="889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4" name="$F$1">
            <a:extLst>
              <a:ext uri="{FF2B5EF4-FFF2-40B4-BE49-F238E27FC236}">
                <a16:creationId xmlns:a16="http://schemas.microsoft.com/office/drawing/2014/main" id="{7B5CC601-B0AC-4EB5-A44E-C57D1ED02E10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5" name="$F$1">
            <a:extLst>
              <a:ext uri="{FF2B5EF4-FFF2-40B4-BE49-F238E27FC236}">
                <a16:creationId xmlns:a16="http://schemas.microsoft.com/office/drawing/2014/main" id="{897E87F5-4D1F-436F-BA81-89DC820E831F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6" name="$F$1">
            <a:extLst>
              <a:ext uri="{FF2B5EF4-FFF2-40B4-BE49-F238E27FC236}">
                <a16:creationId xmlns:a16="http://schemas.microsoft.com/office/drawing/2014/main" id="{3A07790B-4904-4175-B7EB-5EDFDC1684AF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7" name="$F$1">
            <a:extLst>
              <a:ext uri="{FF2B5EF4-FFF2-40B4-BE49-F238E27FC236}">
                <a16:creationId xmlns:a16="http://schemas.microsoft.com/office/drawing/2014/main" id="{99A9A634-CA99-4678-9135-6EA4EA183E33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8" name="$F$1">
            <a:extLst>
              <a:ext uri="{FF2B5EF4-FFF2-40B4-BE49-F238E27FC236}">
                <a16:creationId xmlns:a16="http://schemas.microsoft.com/office/drawing/2014/main" id="{CC671E33-74D0-4D5B-904A-227E48078FEB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9" name="$F$1">
            <a:extLst>
              <a:ext uri="{FF2B5EF4-FFF2-40B4-BE49-F238E27FC236}">
                <a16:creationId xmlns:a16="http://schemas.microsoft.com/office/drawing/2014/main" id="{C19CC4BA-A6A8-41AB-BDBF-A1196759593B}"/>
              </a:ext>
            </a:extLst>
          </xdr:cNvPr>
          <xdr:cNvSpPr/>
        </xdr:nvSpPr>
        <xdr:spPr>
          <a:xfrm>
            <a:off x="1397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0" name="$F$1">
            <a:extLst>
              <a:ext uri="{FF2B5EF4-FFF2-40B4-BE49-F238E27FC236}">
                <a16:creationId xmlns:a16="http://schemas.microsoft.com/office/drawing/2014/main" id="{F868A93B-5EAE-4CB2-9BCB-6B4F24569971}"/>
              </a:ext>
            </a:extLst>
          </xdr:cNvPr>
          <xdr:cNvSpPr/>
        </xdr:nvSpPr>
        <xdr:spPr>
          <a:xfrm>
            <a:off x="381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1" name="$F$1">
            <a:extLst>
              <a:ext uri="{FF2B5EF4-FFF2-40B4-BE49-F238E27FC236}">
                <a16:creationId xmlns:a16="http://schemas.microsoft.com/office/drawing/2014/main" id="{161D8E74-0A7A-4195-8310-F84FD13C20AE}"/>
              </a:ext>
            </a:extLst>
          </xdr:cNvPr>
          <xdr:cNvSpPr/>
        </xdr:nvSpPr>
        <xdr:spPr>
          <a:xfrm>
            <a:off x="63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2" name="$F$1">
            <a:extLst>
              <a:ext uri="{FF2B5EF4-FFF2-40B4-BE49-F238E27FC236}">
                <a16:creationId xmlns:a16="http://schemas.microsoft.com/office/drawing/2014/main" id="{5FDE8969-675E-461C-839D-C9D6D3A4A86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3" name="$F$1">
            <a:extLst>
              <a:ext uri="{FF2B5EF4-FFF2-40B4-BE49-F238E27FC236}">
                <a16:creationId xmlns:a16="http://schemas.microsoft.com/office/drawing/2014/main" id="{814732EF-571D-455A-9618-9DD412E85A9E}"/>
              </a:ext>
            </a:extLst>
          </xdr:cNvPr>
          <xdr:cNvSpPr/>
        </xdr:nvSpPr>
        <xdr:spPr>
          <a:xfrm>
            <a:off x="889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4" name="$F$1">
            <a:extLst>
              <a:ext uri="{FF2B5EF4-FFF2-40B4-BE49-F238E27FC236}">
                <a16:creationId xmlns:a16="http://schemas.microsoft.com/office/drawing/2014/main" id="{D7EE1455-EA7A-4063-A322-2C238E0B4C7E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" name="$F$1">
            <a:extLst>
              <a:ext uri="{FF2B5EF4-FFF2-40B4-BE49-F238E27FC236}">
                <a16:creationId xmlns:a16="http://schemas.microsoft.com/office/drawing/2014/main" id="{FBEA3E6F-526B-47C4-AA04-CE8CF2CC91E7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" name="$F$1">
            <a:extLst>
              <a:ext uri="{FF2B5EF4-FFF2-40B4-BE49-F238E27FC236}">
                <a16:creationId xmlns:a16="http://schemas.microsoft.com/office/drawing/2014/main" id="{A4F3564C-2495-48FC-8281-58EA4A133046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" name="$F$1">
            <a:extLst>
              <a:ext uri="{FF2B5EF4-FFF2-40B4-BE49-F238E27FC236}">
                <a16:creationId xmlns:a16="http://schemas.microsoft.com/office/drawing/2014/main" id="{3BB2610F-2648-4E02-B0C4-43C61234E0C6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" name="$F$1">
            <a:extLst>
              <a:ext uri="{FF2B5EF4-FFF2-40B4-BE49-F238E27FC236}">
                <a16:creationId xmlns:a16="http://schemas.microsoft.com/office/drawing/2014/main" id="{308B0498-931B-4B44-8716-7F3A974E2EFA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" name="$F$1">
            <a:extLst>
              <a:ext uri="{FF2B5EF4-FFF2-40B4-BE49-F238E27FC236}">
                <a16:creationId xmlns:a16="http://schemas.microsoft.com/office/drawing/2014/main" id="{8DDD6DC9-A246-4409-9A9A-E4488C282C42}"/>
              </a:ext>
            </a:extLst>
          </xdr:cNvPr>
          <xdr:cNvSpPr/>
        </xdr:nvSpPr>
        <xdr:spPr>
          <a:xfrm>
            <a:off x="1143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" name="$F$1">
            <a:extLst>
              <a:ext uri="{FF2B5EF4-FFF2-40B4-BE49-F238E27FC236}">
                <a16:creationId xmlns:a16="http://schemas.microsoft.com/office/drawing/2014/main" id="{C4390999-AD12-4996-977C-E69688BB00DE}"/>
              </a:ext>
            </a:extLst>
          </xdr:cNvPr>
          <xdr:cNvSpPr/>
        </xdr:nvSpPr>
        <xdr:spPr>
          <a:xfrm>
            <a:off x="139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" name="$F$1">
            <a:extLst>
              <a:ext uri="{FF2B5EF4-FFF2-40B4-BE49-F238E27FC236}">
                <a16:creationId xmlns:a16="http://schemas.microsoft.com/office/drawing/2014/main" id="{0DD08F93-B14F-4501-AED0-E6BE47B5E51D}"/>
              </a:ext>
            </a:extLst>
          </xdr:cNvPr>
          <xdr:cNvSpPr/>
        </xdr:nvSpPr>
        <xdr:spPr>
          <a:xfrm>
            <a:off x="38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" name="$F$1">
            <a:extLst>
              <a:ext uri="{FF2B5EF4-FFF2-40B4-BE49-F238E27FC236}">
                <a16:creationId xmlns:a16="http://schemas.microsoft.com/office/drawing/2014/main" id="{E85CA438-9E45-4348-A54A-A0BC964AD7A5}"/>
              </a:ext>
            </a:extLst>
          </xdr:cNvPr>
          <xdr:cNvSpPr/>
        </xdr:nvSpPr>
        <xdr:spPr>
          <a:xfrm>
            <a:off x="63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" name="$F$1">
            <a:extLst>
              <a:ext uri="{FF2B5EF4-FFF2-40B4-BE49-F238E27FC236}">
                <a16:creationId xmlns:a16="http://schemas.microsoft.com/office/drawing/2014/main" id="{9C3AA798-2E7C-4199-ADC0-8BFB645DC398}"/>
              </a:ext>
            </a:extLst>
          </xdr:cNvPr>
          <xdr:cNvSpPr/>
        </xdr:nvSpPr>
        <xdr:spPr>
          <a:xfrm>
            <a:off x="889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4" name="$F$1">
            <a:extLst>
              <a:ext uri="{FF2B5EF4-FFF2-40B4-BE49-F238E27FC236}">
                <a16:creationId xmlns:a16="http://schemas.microsoft.com/office/drawing/2014/main" id="{DC6C2A4C-82B0-4273-A686-F8E8D44C7B3F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5" name="$F$1">
            <a:extLst>
              <a:ext uri="{FF2B5EF4-FFF2-40B4-BE49-F238E27FC236}">
                <a16:creationId xmlns:a16="http://schemas.microsoft.com/office/drawing/2014/main" id="{1DC71C4F-E8A8-46DE-B139-E182C6C727E7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6" name="$F$1">
            <a:extLst>
              <a:ext uri="{FF2B5EF4-FFF2-40B4-BE49-F238E27FC236}">
                <a16:creationId xmlns:a16="http://schemas.microsoft.com/office/drawing/2014/main" id="{3886B703-D8F0-416B-9631-3759763B8FCD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7" name="$F$1">
            <a:extLst>
              <a:ext uri="{FF2B5EF4-FFF2-40B4-BE49-F238E27FC236}">
                <a16:creationId xmlns:a16="http://schemas.microsoft.com/office/drawing/2014/main" id="{7A3EE07C-FBD3-4348-937E-7AED10C9B733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8" name="$F$1">
            <a:extLst>
              <a:ext uri="{FF2B5EF4-FFF2-40B4-BE49-F238E27FC236}">
                <a16:creationId xmlns:a16="http://schemas.microsoft.com/office/drawing/2014/main" id="{960503EE-DD39-4580-B81D-B8D8A8B65C83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9" name="$F$1">
            <a:extLst>
              <a:ext uri="{FF2B5EF4-FFF2-40B4-BE49-F238E27FC236}">
                <a16:creationId xmlns:a16="http://schemas.microsoft.com/office/drawing/2014/main" id="{0718AAA5-BF98-4599-9C04-6BFFBEED7CAC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0" name="$F$1">
            <a:extLst>
              <a:ext uri="{FF2B5EF4-FFF2-40B4-BE49-F238E27FC236}">
                <a16:creationId xmlns:a16="http://schemas.microsoft.com/office/drawing/2014/main" id="{FAA09437-AB66-4DDC-80CE-618CB1B50342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1" name="$F$1">
            <a:extLst>
              <a:ext uri="{FF2B5EF4-FFF2-40B4-BE49-F238E27FC236}">
                <a16:creationId xmlns:a16="http://schemas.microsoft.com/office/drawing/2014/main" id="{413405A4-9EC4-4931-906C-40FBC5F2F48B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2" name="$F$1">
            <a:extLst>
              <a:ext uri="{FF2B5EF4-FFF2-40B4-BE49-F238E27FC236}">
                <a16:creationId xmlns:a16="http://schemas.microsoft.com/office/drawing/2014/main" id="{35A2CFC2-1F3D-4FE2-B0E4-2248FB74FF46}"/>
              </a:ext>
            </a:extLst>
          </xdr:cNvPr>
          <xdr:cNvSpPr/>
        </xdr:nvSpPr>
        <xdr:spPr>
          <a:xfrm>
            <a:off x="76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3" name="$F$1">
            <a:extLst>
              <a:ext uri="{FF2B5EF4-FFF2-40B4-BE49-F238E27FC236}">
                <a16:creationId xmlns:a16="http://schemas.microsoft.com/office/drawing/2014/main" id="{3FCE473E-0E02-40BA-A1DF-BBE2F7477BB1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4" name="$F$1">
            <a:extLst>
              <a:ext uri="{FF2B5EF4-FFF2-40B4-BE49-F238E27FC236}">
                <a16:creationId xmlns:a16="http://schemas.microsoft.com/office/drawing/2014/main" id="{0CA12781-2BD8-4277-A6ED-9C72A78DFBC2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5" name="$F$1">
            <a:extLst>
              <a:ext uri="{FF2B5EF4-FFF2-40B4-BE49-F238E27FC236}">
                <a16:creationId xmlns:a16="http://schemas.microsoft.com/office/drawing/2014/main" id="{5E458906-3F5A-4E78-BE43-BFED1291768E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6" name="$F$1">
            <a:extLst>
              <a:ext uri="{FF2B5EF4-FFF2-40B4-BE49-F238E27FC236}">
                <a16:creationId xmlns:a16="http://schemas.microsoft.com/office/drawing/2014/main" id="{FE70CFF8-B364-4C76-A4C1-A62378BBE540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7" name="$F$1">
            <a:extLst>
              <a:ext uri="{FF2B5EF4-FFF2-40B4-BE49-F238E27FC236}">
                <a16:creationId xmlns:a16="http://schemas.microsoft.com/office/drawing/2014/main" id="{2B5A126C-CC64-4B7C-BF52-02DF75C6888D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8" name="$F$1">
            <a:extLst>
              <a:ext uri="{FF2B5EF4-FFF2-40B4-BE49-F238E27FC236}">
                <a16:creationId xmlns:a16="http://schemas.microsoft.com/office/drawing/2014/main" id="{7C615342-0028-4442-84E6-AC9D3F98B509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9" name="$F$1">
            <a:extLst>
              <a:ext uri="{FF2B5EF4-FFF2-40B4-BE49-F238E27FC236}">
                <a16:creationId xmlns:a16="http://schemas.microsoft.com/office/drawing/2014/main" id="{0287ED41-0AB8-43D8-A19F-C92F3951A0FD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0" name="$F$1">
            <a:extLst>
              <a:ext uri="{FF2B5EF4-FFF2-40B4-BE49-F238E27FC236}">
                <a16:creationId xmlns:a16="http://schemas.microsoft.com/office/drawing/2014/main" id="{E3E0A7BB-E8D4-4DA1-8BAE-323D9137F92A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1" name="$F$1">
            <a:extLst>
              <a:ext uri="{FF2B5EF4-FFF2-40B4-BE49-F238E27FC236}">
                <a16:creationId xmlns:a16="http://schemas.microsoft.com/office/drawing/2014/main" id="{FD5AAA86-FC80-43F6-8DAC-3453E6ED115B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2" name="$F$1">
            <a:extLst>
              <a:ext uri="{FF2B5EF4-FFF2-40B4-BE49-F238E27FC236}">
                <a16:creationId xmlns:a16="http://schemas.microsoft.com/office/drawing/2014/main" id="{13700C1A-1781-441C-85F3-CC0F9B215539}"/>
              </a:ext>
            </a:extLst>
          </xdr:cNvPr>
          <xdr:cNvSpPr/>
        </xdr:nvSpPr>
        <xdr:spPr>
          <a:xfrm>
            <a:off x="76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3" name="$F$1">
            <a:extLst>
              <a:ext uri="{FF2B5EF4-FFF2-40B4-BE49-F238E27FC236}">
                <a16:creationId xmlns:a16="http://schemas.microsoft.com/office/drawing/2014/main" id="{3633AF6B-384C-42F3-9FA5-6B5F965DCCD2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4" name="$F$1">
            <a:extLst>
              <a:ext uri="{FF2B5EF4-FFF2-40B4-BE49-F238E27FC236}">
                <a16:creationId xmlns:a16="http://schemas.microsoft.com/office/drawing/2014/main" id="{0EEA2BBC-D9A7-430A-BF46-6B8CA984D113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5" name="$F$1">
            <a:extLst>
              <a:ext uri="{FF2B5EF4-FFF2-40B4-BE49-F238E27FC236}">
                <a16:creationId xmlns:a16="http://schemas.microsoft.com/office/drawing/2014/main" id="{556F7076-0BB7-40BA-ACDF-0B6006F36EDE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6" name="$F$1">
            <a:extLst>
              <a:ext uri="{FF2B5EF4-FFF2-40B4-BE49-F238E27FC236}">
                <a16:creationId xmlns:a16="http://schemas.microsoft.com/office/drawing/2014/main" id="{A1F8547D-12FD-45FD-B7D2-9E5D8C141F19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7" name="$F$1">
            <a:extLst>
              <a:ext uri="{FF2B5EF4-FFF2-40B4-BE49-F238E27FC236}">
                <a16:creationId xmlns:a16="http://schemas.microsoft.com/office/drawing/2014/main" id="{6D47C945-E071-498B-A1D0-BA2C5447E8E2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8" name="$F$1">
            <a:extLst>
              <a:ext uri="{FF2B5EF4-FFF2-40B4-BE49-F238E27FC236}">
                <a16:creationId xmlns:a16="http://schemas.microsoft.com/office/drawing/2014/main" id="{F7A637E8-EAE8-4EEA-9B22-948492CF1A38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9" name="$F$1">
            <a:extLst>
              <a:ext uri="{FF2B5EF4-FFF2-40B4-BE49-F238E27FC236}">
                <a16:creationId xmlns:a16="http://schemas.microsoft.com/office/drawing/2014/main" id="{11279A97-37E2-4450-A3D7-FA75E7F8B1ED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0" name="$F$1">
            <a:extLst>
              <a:ext uri="{FF2B5EF4-FFF2-40B4-BE49-F238E27FC236}">
                <a16:creationId xmlns:a16="http://schemas.microsoft.com/office/drawing/2014/main" id="{3509D24D-4F0B-451B-BCD4-35223B9C2555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1" name="$F$1">
            <a:extLst>
              <a:ext uri="{FF2B5EF4-FFF2-40B4-BE49-F238E27FC236}">
                <a16:creationId xmlns:a16="http://schemas.microsoft.com/office/drawing/2014/main" id="{800AE380-43C5-43F8-850C-67FD49CB763A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2" name="$F$1">
            <a:extLst>
              <a:ext uri="{FF2B5EF4-FFF2-40B4-BE49-F238E27FC236}">
                <a16:creationId xmlns:a16="http://schemas.microsoft.com/office/drawing/2014/main" id="{25B92F7D-C7FE-4165-8406-9E15B3C741C9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3" name="$F$1">
            <a:extLst>
              <a:ext uri="{FF2B5EF4-FFF2-40B4-BE49-F238E27FC236}">
                <a16:creationId xmlns:a16="http://schemas.microsoft.com/office/drawing/2014/main" id="{126469BF-6315-4970-A9EF-4DEFE7B177E9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4" name="$F$1">
            <a:extLst>
              <a:ext uri="{FF2B5EF4-FFF2-40B4-BE49-F238E27FC236}">
                <a16:creationId xmlns:a16="http://schemas.microsoft.com/office/drawing/2014/main" id="{9155A0EC-1092-4B5D-9714-C2478EFBEFEF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5" name="$F$1">
            <a:extLst>
              <a:ext uri="{FF2B5EF4-FFF2-40B4-BE49-F238E27FC236}">
                <a16:creationId xmlns:a16="http://schemas.microsoft.com/office/drawing/2014/main" id="{73A48FC7-22FA-4B19-A62C-DEF13B16ABDA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6" name="$F$1">
            <a:extLst>
              <a:ext uri="{FF2B5EF4-FFF2-40B4-BE49-F238E27FC236}">
                <a16:creationId xmlns:a16="http://schemas.microsoft.com/office/drawing/2014/main" id="{828674C3-9BAA-42B1-968B-B5FD6606EFF8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7" name="$F$1">
            <a:extLst>
              <a:ext uri="{FF2B5EF4-FFF2-40B4-BE49-F238E27FC236}">
                <a16:creationId xmlns:a16="http://schemas.microsoft.com/office/drawing/2014/main" id="{88D59415-A515-4151-83D2-74C7A0ADF16B}"/>
              </a:ext>
            </a:extLst>
          </xdr:cNvPr>
          <xdr:cNvSpPr/>
        </xdr:nvSpPr>
        <xdr:spPr>
          <a:xfrm>
            <a:off x="88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8" name="$F$1">
            <a:extLst>
              <a:ext uri="{FF2B5EF4-FFF2-40B4-BE49-F238E27FC236}">
                <a16:creationId xmlns:a16="http://schemas.microsoft.com/office/drawing/2014/main" id="{E72EDB11-A188-4241-AB6F-23333D95BABB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9" name="$F$1">
            <a:extLst>
              <a:ext uri="{FF2B5EF4-FFF2-40B4-BE49-F238E27FC236}">
                <a16:creationId xmlns:a16="http://schemas.microsoft.com/office/drawing/2014/main" id="{5169F416-06BD-4206-806B-9A7A114899D4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0" name="$F$1">
            <a:extLst>
              <a:ext uri="{FF2B5EF4-FFF2-40B4-BE49-F238E27FC236}">
                <a16:creationId xmlns:a16="http://schemas.microsoft.com/office/drawing/2014/main" id="{0583EBE4-8265-4F91-8BE5-AF04A44727F0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1" name="$F$1">
            <a:extLst>
              <a:ext uri="{FF2B5EF4-FFF2-40B4-BE49-F238E27FC236}">
                <a16:creationId xmlns:a16="http://schemas.microsoft.com/office/drawing/2014/main" id="{65ED7978-A426-4002-A9A9-C19AF3383E01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2" name="$F$1">
            <a:extLst>
              <a:ext uri="{FF2B5EF4-FFF2-40B4-BE49-F238E27FC236}">
                <a16:creationId xmlns:a16="http://schemas.microsoft.com/office/drawing/2014/main" id="{49A4E456-3911-4EB7-9192-F9A5DE53DA41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3" name="$F$1">
            <a:extLst>
              <a:ext uri="{FF2B5EF4-FFF2-40B4-BE49-F238E27FC236}">
                <a16:creationId xmlns:a16="http://schemas.microsoft.com/office/drawing/2014/main" id="{B204E97C-DF08-4775-B102-941FEE3D3F69}"/>
              </a:ext>
            </a:extLst>
          </xdr:cNvPr>
          <xdr:cNvSpPr/>
        </xdr:nvSpPr>
        <xdr:spPr>
          <a:xfrm>
            <a:off x="165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4" name="$F$1">
            <a:extLst>
              <a:ext uri="{FF2B5EF4-FFF2-40B4-BE49-F238E27FC236}">
                <a16:creationId xmlns:a16="http://schemas.microsoft.com/office/drawing/2014/main" id="{1CA5C4ED-507C-4922-968A-D6F7B85A0BCA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5" name="$F$1">
            <a:extLst>
              <a:ext uri="{FF2B5EF4-FFF2-40B4-BE49-F238E27FC236}">
                <a16:creationId xmlns:a16="http://schemas.microsoft.com/office/drawing/2014/main" id="{8B12392E-2492-4E69-BE39-CA62B322BEBC}"/>
              </a:ext>
            </a:extLst>
          </xdr:cNvPr>
          <xdr:cNvSpPr/>
        </xdr:nvSpPr>
        <xdr:spPr>
          <a:xfrm>
            <a:off x="165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6" name="$F$1">
            <a:extLst>
              <a:ext uri="{FF2B5EF4-FFF2-40B4-BE49-F238E27FC236}">
                <a16:creationId xmlns:a16="http://schemas.microsoft.com/office/drawing/2014/main" id="{B5AF3097-5C13-4147-A0F2-D677A7319BF6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7" name="$F$1">
            <a:extLst>
              <a:ext uri="{FF2B5EF4-FFF2-40B4-BE49-F238E27FC236}">
                <a16:creationId xmlns:a16="http://schemas.microsoft.com/office/drawing/2014/main" id="{24043AEF-7516-4603-BEA0-8FF900BD943C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8" name="$F$1">
            <a:extLst>
              <a:ext uri="{FF2B5EF4-FFF2-40B4-BE49-F238E27FC236}">
                <a16:creationId xmlns:a16="http://schemas.microsoft.com/office/drawing/2014/main" id="{2EBA99D4-CA01-4BFA-8857-59469325530B}"/>
              </a:ext>
            </a:extLst>
          </xdr:cNvPr>
          <xdr:cNvSpPr/>
        </xdr:nvSpPr>
        <xdr:spPr>
          <a:xfrm>
            <a:off x="165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9" name="$F$1">
            <a:extLst>
              <a:ext uri="{FF2B5EF4-FFF2-40B4-BE49-F238E27FC236}">
                <a16:creationId xmlns:a16="http://schemas.microsoft.com/office/drawing/2014/main" id="{2CC3B72D-6247-4716-BC10-BA617734C0C3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0" name="$F$1">
            <a:extLst>
              <a:ext uri="{FF2B5EF4-FFF2-40B4-BE49-F238E27FC236}">
                <a16:creationId xmlns:a16="http://schemas.microsoft.com/office/drawing/2014/main" id="{3267DBB9-80A0-4A9D-8B1B-BA036651215D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1" name="$F$1">
            <a:extLst>
              <a:ext uri="{FF2B5EF4-FFF2-40B4-BE49-F238E27FC236}">
                <a16:creationId xmlns:a16="http://schemas.microsoft.com/office/drawing/2014/main" id="{639DB2AC-A466-47CA-8FBC-798E14465C4D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2" name="$F$1">
            <a:extLst>
              <a:ext uri="{FF2B5EF4-FFF2-40B4-BE49-F238E27FC236}">
                <a16:creationId xmlns:a16="http://schemas.microsoft.com/office/drawing/2014/main" id="{94C58F5E-3EC1-4A68-96CF-AB918FC02E5E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3" name="$F$1">
            <a:extLst>
              <a:ext uri="{FF2B5EF4-FFF2-40B4-BE49-F238E27FC236}">
                <a16:creationId xmlns:a16="http://schemas.microsoft.com/office/drawing/2014/main" id="{C8DCB1DD-1E06-4705-AE82-0F012F0559C6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4" name="$F$1">
            <a:extLst>
              <a:ext uri="{FF2B5EF4-FFF2-40B4-BE49-F238E27FC236}">
                <a16:creationId xmlns:a16="http://schemas.microsoft.com/office/drawing/2014/main" id="{BAC70C77-31D0-456D-ABDB-8CF908D27F0E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5" name="$F$1">
            <a:extLst>
              <a:ext uri="{FF2B5EF4-FFF2-40B4-BE49-F238E27FC236}">
                <a16:creationId xmlns:a16="http://schemas.microsoft.com/office/drawing/2014/main" id="{41980027-779D-4905-93A5-903D6329D95A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6" name="$F$1">
            <a:extLst>
              <a:ext uri="{FF2B5EF4-FFF2-40B4-BE49-F238E27FC236}">
                <a16:creationId xmlns:a16="http://schemas.microsoft.com/office/drawing/2014/main" id="{3F5FD0B0-7AD8-4B2E-924E-D1E14737E18D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7" name="$F$1">
            <a:extLst>
              <a:ext uri="{FF2B5EF4-FFF2-40B4-BE49-F238E27FC236}">
                <a16:creationId xmlns:a16="http://schemas.microsoft.com/office/drawing/2014/main" id="{B17602F0-7444-49D3-A8DF-AECBD527CE3C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8" name="$F$1">
            <a:extLst>
              <a:ext uri="{FF2B5EF4-FFF2-40B4-BE49-F238E27FC236}">
                <a16:creationId xmlns:a16="http://schemas.microsoft.com/office/drawing/2014/main" id="{13D9EBD1-FF75-4469-90EB-52F59185C062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9" name="$F$1">
            <a:extLst>
              <a:ext uri="{FF2B5EF4-FFF2-40B4-BE49-F238E27FC236}">
                <a16:creationId xmlns:a16="http://schemas.microsoft.com/office/drawing/2014/main" id="{78A6F55C-4F9B-4572-A964-06908881E7EB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0" name="$F$1">
            <a:extLst>
              <a:ext uri="{FF2B5EF4-FFF2-40B4-BE49-F238E27FC236}">
                <a16:creationId xmlns:a16="http://schemas.microsoft.com/office/drawing/2014/main" id="{5F5135C1-8349-460A-821B-E3FC3B9077B9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1" name="$F$1">
            <a:extLst>
              <a:ext uri="{FF2B5EF4-FFF2-40B4-BE49-F238E27FC236}">
                <a16:creationId xmlns:a16="http://schemas.microsoft.com/office/drawing/2014/main" id="{CE49E984-22E4-49BB-97DB-F32662095F09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2" name="$F$1">
            <a:extLst>
              <a:ext uri="{FF2B5EF4-FFF2-40B4-BE49-F238E27FC236}">
                <a16:creationId xmlns:a16="http://schemas.microsoft.com/office/drawing/2014/main" id="{7F50DAB5-D194-4520-835B-4B1E4CD30E8A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3" name="$F$1">
            <a:extLst>
              <a:ext uri="{FF2B5EF4-FFF2-40B4-BE49-F238E27FC236}">
                <a16:creationId xmlns:a16="http://schemas.microsoft.com/office/drawing/2014/main" id="{6C482F24-6402-40D1-9A27-8D114ADC764A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4" name="$F$1">
            <a:extLst>
              <a:ext uri="{FF2B5EF4-FFF2-40B4-BE49-F238E27FC236}">
                <a16:creationId xmlns:a16="http://schemas.microsoft.com/office/drawing/2014/main" id="{3ADA5A07-7196-4BF6-BF88-20450978E32C}"/>
              </a:ext>
            </a:extLst>
          </xdr:cNvPr>
          <xdr:cNvSpPr/>
        </xdr:nvSpPr>
        <xdr:spPr>
          <a:xfrm>
            <a:off x="76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5" name="$F$1">
            <a:extLst>
              <a:ext uri="{FF2B5EF4-FFF2-40B4-BE49-F238E27FC236}">
                <a16:creationId xmlns:a16="http://schemas.microsoft.com/office/drawing/2014/main" id="{8C457082-A0A9-4161-9B59-7807451DAF72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6" name="$F$1">
            <a:extLst>
              <a:ext uri="{FF2B5EF4-FFF2-40B4-BE49-F238E27FC236}">
                <a16:creationId xmlns:a16="http://schemas.microsoft.com/office/drawing/2014/main" id="{B5525DF3-BFAC-4C16-BF72-194453EF0F0F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7" name="$F$1">
            <a:extLst>
              <a:ext uri="{FF2B5EF4-FFF2-40B4-BE49-F238E27FC236}">
                <a16:creationId xmlns:a16="http://schemas.microsoft.com/office/drawing/2014/main" id="{303F2D05-C5F4-453D-B4AE-EBF819F8BC26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8" name="$F$1">
            <a:extLst>
              <a:ext uri="{FF2B5EF4-FFF2-40B4-BE49-F238E27FC236}">
                <a16:creationId xmlns:a16="http://schemas.microsoft.com/office/drawing/2014/main" id="{ED33F3CC-C783-4E61-AD14-5CEDFC8CEAD3}"/>
              </a:ext>
            </a:extLst>
          </xdr:cNvPr>
          <xdr:cNvSpPr/>
        </xdr:nvSpPr>
        <xdr:spPr>
          <a:xfrm>
            <a:off x="25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9" name="$F$1">
            <a:extLst>
              <a:ext uri="{FF2B5EF4-FFF2-40B4-BE49-F238E27FC236}">
                <a16:creationId xmlns:a16="http://schemas.microsoft.com/office/drawing/2014/main" id="{88033442-8E0B-4598-9068-8D26C7DEACAA}"/>
              </a:ext>
            </a:extLst>
          </xdr:cNvPr>
          <xdr:cNvSpPr/>
        </xdr:nvSpPr>
        <xdr:spPr>
          <a:xfrm>
            <a:off x="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0" name="$F$1">
            <a:extLst>
              <a:ext uri="{FF2B5EF4-FFF2-40B4-BE49-F238E27FC236}">
                <a16:creationId xmlns:a16="http://schemas.microsoft.com/office/drawing/2014/main" id="{FC7293F9-45A9-44C3-9A3C-66D066A019F4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1" name="$F$1">
            <a:extLst>
              <a:ext uri="{FF2B5EF4-FFF2-40B4-BE49-F238E27FC236}">
                <a16:creationId xmlns:a16="http://schemas.microsoft.com/office/drawing/2014/main" id="{57659476-5B4C-4A30-8DC9-34C391A2E042}"/>
              </a:ext>
            </a:extLst>
          </xdr:cNvPr>
          <xdr:cNvSpPr/>
        </xdr:nvSpPr>
        <xdr:spPr>
          <a:xfrm>
            <a:off x="127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2" name="$F$1">
            <a:extLst>
              <a:ext uri="{FF2B5EF4-FFF2-40B4-BE49-F238E27FC236}">
                <a16:creationId xmlns:a16="http://schemas.microsoft.com/office/drawing/2014/main" id="{74F53237-C6EB-4075-B84A-59476F767523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3" name="$F$1">
            <a:extLst>
              <a:ext uri="{FF2B5EF4-FFF2-40B4-BE49-F238E27FC236}">
                <a16:creationId xmlns:a16="http://schemas.microsoft.com/office/drawing/2014/main" id="{CA9DD269-8AD5-48A5-9BE0-81C6D3B8EF38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4" name="$F$1">
            <a:extLst>
              <a:ext uri="{FF2B5EF4-FFF2-40B4-BE49-F238E27FC236}">
                <a16:creationId xmlns:a16="http://schemas.microsoft.com/office/drawing/2014/main" id="{7DCDD2CE-E370-4676-8422-B962002FC862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5" name="$F$1">
            <a:extLst>
              <a:ext uri="{FF2B5EF4-FFF2-40B4-BE49-F238E27FC236}">
                <a16:creationId xmlns:a16="http://schemas.microsoft.com/office/drawing/2014/main" id="{5E90F2AA-5CC8-4BF3-AAEC-021A89BCBD20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6" name="$F$1">
            <a:extLst>
              <a:ext uri="{FF2B5EF4-FFF2-40B4-BE49-F238E27FC236}">
                <a16:creationId xmlns:a16="http://schemas.microsoft.com/office/drawing/2014/main" id="{7A564E17-C9F6-498A-9528-BA51ED1BA8EF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7" name="$F$1">
            <a:extLst>
              <a:ext uri="{FF2B5EF4-FFF2-40B4-BE49-F238E27FC236}">
                <a16:creationId xmlns:a16="http://schemas.microsoft.com/office/drawing/2014/main" id="{8038F946-803C-4FB7-8A9A-F9FFAC397FB5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8" name="$F$1">
            <a:extLst>
              <a:ext uri="{FF2B5EF4-FFF2-40B4-BE49-F238E27FC236}">
                <a16:creationId xmlns:a16="http://schemas.microsoft.com/office/drawing/2014/main" id="{93E27BC0-A2B4-498D-A758-8001EA277B7A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9" name="$F$1">
            <a:extLst>
              <a:ext uri="{FF2B5EF4-FFF2-40B4-BE49-F238E27FC236}">
                <a16:creationId xmlns:a16="http://schemas.microsoft.com/office/drawing/2014/main" id="{2313785D-E2AC-40FD-81BE-FCF75E24BAF9}"/>
              </a:ext>
            </a:extLst>
          </xdr:cNvPr>
          <xdr:cNvSpPr/>
        </xdr:nvSpPr>
        <xdr:spPr>
          <a:xfrm>
            <a:off x="127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0" name="$F$1">
            <a:extLst>
              <a:ext uri="{FF2B5EF4-FFF2-40B4-BE49-F238E27FC236}">
                <a16:creationId xmlns:a16="http://schemas.microsoft.com/office/drawing/2014/main" id="{98F18426-2F3C-4296-B5D5-E2C69E50D2AB}"/>
              </a:ext>
            </a:extLst>
          </xdr:cNvPr>
          <xdr:cNvSpPr/>
        </xdr:nvSpPr>
        <xdr:spPr>
          <a:xfrm>
            <a:off x="127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1" name="$F$1">
            <a:extLst>
              <a:ext uri="{FF2B5EF4-FFF2-40B4-BE49-F238E27FC236}">
                <a16:creationId xmlns:a16="http://schemas.microsoft.com/office/drawing/2014/main" id="{CFDEB553-8BB9-4F4B-925E-078FB618CC38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2" name="$F$1">
            <a:extLst>
              <a:ext uri="{FF2B5EF4-FFF2-40B4-BE49-F238E27FC236}">
                <a16:creationId xmlns:a16="http://schemas.microsoft.com/office/drawing/2014/main" id="{AD28048A-FCF3-4147-9C45-C10D824DD3F7}"/>
              </a:ext>
            </a:extLst>
          </xdr:cNvPr>
          <xdr:cNvSpPr/>
        </xdr:nvSpPr>
        <xdr:spPr>
          <a:xfrm>
            <a:off x="12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3" name="$F$1">
            <a:extLst>
              <a:ext uri="{FF2B5EF4-FFF2-40B4-BE49-F238E27FC236}">
                <a16:creationId xmlns:a16="http://schemas.microsoft.com/office/drawing/2014/main" id="{C5166AE3-DC95-4D18-8F73-4024AC89D6DC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4" name="$F$1">
            <a:extLst>
              <a:ext uri="{FF2B5EF4-FFF2-40B4-BE49-F238E27FC236}">
                <a16:creationId xmlns:a16="http://schemas.microsoft.com/office/drawing/2014/main" id="{B697DBCE-E219-4FD1-AA5D-35A3F68E18C2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5" name="$F$1">
            <a:extLst>
              <a:ext uri="{FF2B5EF4-FFF2-40B4-BE49-F238E27FC236}">
                <a16:creationId xmlns:a16="http://schemas.microsoft.com/office/drawing/2014/main" id="{C1495910-4B30-4EB7-8591-1977FEA2ABAE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6" name="$F$1">
            <a:extLst>
              <a:ext uri="{FF2B5EF4-FFF2-40B4-BE49-F238E27FC236}">
                <a16:creationId xmlns:a16="http://schemas.microsoft.com/office/drawing/2014/main" id="{23A4105F-76C5-429B-9959-6A95E261C775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7" name="$F$1">
            <a:extLst>
              <a:ext uri="{FF2B5EF4-FFF2-40B4-BE49-F238E27FC236}">
                <a16:creationId xmlns:a16="http://schemas.microsoft.com/office/drawing/2014/main" id="{3B8F1805-6EAB-45A5-B63A-1920BA307B00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8" name="$F$1">
            <a:extLst>
              <a:ext uri="{FF2B5EF4-FFF2-40B4-BE49-F238E27FC236}">
                <a16:creationId xmlns:a16="http://schemas.microsoft.com/office/drawing/2014/main" id="{77E03B01-A6A6-4C18-B378-D0707F3E35D2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9" name="$F$1">
            <a:extLst>
              <a:ext uri="{FF2B5EF4-FFF2-40B4-BE49-F238E27FC236}">
                <a16:creationId xmlns:a16="http://schemas.microsoft.com/office/drawing/2014/main" id="{BB97B7B0-2EB4-4064-A3C3-0D206BD31B49}"/>
              </a:ext>
            </a:extLst>
          </xdr:cNvPr>
          <xdr:cNvSpPr/>
        </xdr:nvSpPr>
        <xdr:spPr>
          <a:xfrm>
            <a:off x="25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0" name="$F$1">
            <a:extLst>
              <a:ext uri="{FF2B5EF4-FFF2-40B4-BE49-F238E27FC236}">
                <a16:creationId xmlns:a16="http://schemas.microsoft.com/office/drawing/2014/main" id="{6B53A9B9-8686-414B-819F-6E9DDB4F4F2D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1" name="$F$1">
            <a:extLst>
              <a:ext uri="{FF2B5EF4-FFF2-40B4-BE49-F238E27FC236}">
                <a16:creationId xmlns:a16="http://schemas.microsoft.com/office/drawing/2014/main" id="{8D01AD44-888A-4A77-90CC-1B251B28C7EE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2" name="$F$1">
            <a:extLst>
              <a:ext uri="{FF2B5EF4-FFF2-40B4-BE49-F238E27FC236}">
                <a16:creationId xmlns:a16="http://schemas.microsoft.com/office/drawing/2014/main" id="{8E7BC126-D27B-4CEB-BA68-854456328994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3" name="$F$1">
            <a:extLst>
              <a:ext uri="{FF2B5EF4-FFF2-40B4-BE49-F238E27FC236}">
                <a16:creationId xmlns:a16="http://schemas.microsoft.com/office/drawing/2014/main" id="{6CD0C2F8-9239-45F6-A323-9318B5F6A4D8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4" name="$F$1">
            <a:extLst>
              <a:ext uri="{FF2B5EF4-FFF2-40B4-BE49-F238E27FC236}">
                <a16:creationId xmlns:a16="http://schemas.microsoft.com/office/drawing/2014/main" id="{CCA5FFC4-FC06-48D2-9680-6056388CBE47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5" name="$F$1">
            <a:extLst>
              <a:ext uri="{FF2B5EF4-FFF2-40B4-BE49-F238E27FC236}">
                <a16:creationId xmlns:a16="http://schemas.microsoft.com/office/drawing/2014/main" id="{DD7C8B66-A645-4C25-A578-25908DFB4FFE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6" name="$F$1">
            <a:extLst>
              <a:ext uri="{FF2B5EF4-FFF2-40B4-BE49-F238E27FC236}">
                <a16:creationId xmlns:a16="http://schemas.microsoft.com/office/drawing/2014/main" id="{61993D19-C288-41B9-8066-C0BD2FFDAEA8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7" name="$F$1">
            <a:extLst>
              <a:ext uri="{FF2B5EF4-FFF2-40B4-BE49-F238E27FC236}">
                <a16:creationId xmlns:a16="http://schemas.microsoft.com/office/drawing/2014/main" id="{117D893E-F3FC-448A-9728-3E1EAE8F349A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8" name="$F$1">
            <a:extLst>
              <a:ext uri="{FF2B5EF4-FFF2-40B4-BE49-F238E27FC236}">
                <a16:creationId xmlns:a16="http://schemas.microsoft.com/office/drawing/2014/main" id="{58233CD0-EAC3-49D9-A7D4-79976203B6B8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9" name="$F$1">
            <a:extLst>
              <a:ext uri="{FF2B5EF4-FFF2-40B4-BE49-F238E27FC236}">
                <a16:creationId xmlns:a16="http://schemas.microsoft.com/office/drawing/2014/main" id="{43A29D5E-84BB-49E3-BE4D-9B252E84D870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24881</xdr:colOff>
      <xdr:row>0</xdr:row>
      <xdr:rowOff>96096</xdr:rowOff>
    </xdr:from>
    <xdr:to>
      <xdr:col>1</xdr:col>
      <xdr:colOff>2383040</xdr:colOff>
      <xdr:row>0</xdr:row>
      <xdr:rowOff>1328843</xdr:rowOff>
    </xdr:to>
    <xdr:grpSp>
      <xdr:nvGrpSpPr>
        <xdr:cNvPr id="44011" name="$B$1" descr="PDF417 barcode, security 2, nbcol 1, 13x86 cells" title="123456789">
          <a:extLst>
            <a:ext uri="{FF2B5EF4-FFF2-40B4-BE49-F238E27FC236}">
              <a16:creationId xmlns:a16="http://schemas.microsoft.com/office/drawing/2014/main" id="{B455CCCF-444A-465F-AF90-9681505F8EBA}"/>
            </a:ext>
          </a:extLst>
        </xdr:cNvPr>
        <xdr:cNvGrpSpPr>
          <a:grpSpLocks noChangeAspect="1"/>
        </xdr:cNvGrpSpPr>
      </xdr:nvGrpSpPr>
      <xdr:grpSpPr>
        <a:xfrm>
          <a:off x="992621" y="96096"/>
          <a:ext cx="2358159" cy="1232747"/>
          <a:chOff x="12700" y="0"/>
          <a:chExt cx="1092200" cy="533400"/>
        </a:xfrm>
        <a:solidFill>
          <a:srgbClr val="000000"/>
        </a:solidFill>
      </xdr:grpSpPr>
      <xdr:sp macro="" textlink="">
        <xdr:nvSpPr>
          <xdr:cNvPr id="43333" name="$B$1">
            <a:extLst>
              <a:ext uri="{FF2B5EF4-FFF2-40B4-BE49-F238E27FC236}">
                <a16:creationId xmlns:a16="http://schemas.microsoft.com/office/drawing/2014/main" id="{E9D6C132-2B71-43DA-A8B6-1AE1D6955108}"/>
              </a:ext>
            </a:extLst>
          </xdr:cNvPr>
          <xdr:cNvSpPr/>
        </xdr:nvSpPr>
        <xdr:spPr>
          <a:xfrm>
            <a:off x="12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34" name="$B$1">
            <a:extLst>
              <a:ext uri="{FF2B5EF4-FFF2-40B4-BE49-F238E27FC236}">
                <a16:creationId xmlns:a16="http://schemas.microsoft.com/office/drawing/2014/main" id="{BEDDC1BF-3E4E-4E7E-831B-D5F845972444}"/>
              </a:ext>
            </a:extLst>
          </xdr:cNvPr>
          <xdr:cNvSpPr/>
        </xdr:nvSpPr>
        <xdr:spPr>
          <a:xfrm>
            <a:off x="25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35" name="$B$1">
            <a:extLst>
              <a:ext uri="{FF2B5EF4-FFF2-40B4-BE49-F238E27FC236}">
                <a16:creationId xmlns:a16="http://schemas.microsoft.com/office/drawing/2014/main" id="{87ECDAE2-980A-4363-86BB-FF944A72DB2A}"/>
              </a:ext>
            </a:extLst>
          </xdr:cNvPr>
          <xdr:cNvSpPr/>
        </xdr:nvSpPr>
        <xdr:spPr>
          <a:xfrm>
            <a:off x="381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36" name="$B$1">
            <a:extLst>
              <a:ext uri="{FF2B5EF4-FFF2-40B4-BE49-F238E27FC236}">
                <a16:creationId xmlns:a16="http://schemas.microsoft.com/office/drawing/2014/main" id="{FC144A67-75B4-4CA3-85BC-49A1B09FE6C7}"/>
              </a:ext>
            </a:extLst>
          </xdr:cNvPr>
          <xdr:cNvSpPr/>
        </xdr:nvSpPr>
        <xdr:spPr>
          <a:xfrm>
            <a:off x="50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37" name="$B$1">
            <a:extLst>
              <a:ext uri="{FF2B5EF4-FFF2-40B4-BE49-F238E27FC236}">
                <a16:creationId xmlns:a16="http://schemas.microsoft.com/office/drawing/2014/main" id="{2FD2A036-5F01-4FE4-B9DA-024402A47384}"/>
              </a:ext>
            </a:extLst>
          </xdr:cNvPr>
          <xdr:cNvSpPr/>
        </xdr:nvSpPr>
        <xdr:spPr>
          <a:xfrm>
            <a:off x="635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38" name="$B$1">
            <a:extLst>
              <a:ext uri="{FF2B5EF4-FFF2-40B4-BE49-F238E27FC236}">
                <a16:creationId xmlns:a16="http://schemas.microsoft.com/office/drawing/2014/main" id="{8F3EF082-94A9-4165-BAFC-3ACE72FF2ECB}"/>
              </a:ext>
            </a:extLst>
          </xdr:cNvPr>
          <xdr:cNvSpPr/>
        </xdr:nvSpPr>
        <xdr:spPr>
          <a:xfrm>
            <a:off x="762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39" name="$B$1">
            <a:extLst>
              <a:ext uri="{FF2B5EF4-FFF2-40B4-BE49-F238E27FC236}">
                <a16:creationId xmlns:a16="http://schemas.microsoft.com/office/drawing/2014/main" id="{D147A49E-3312-425F-BA72-031C8A5C7F13}"/>
              </a:ext>
            </a:extLst>
          </xdr:cNvPr>
          <xdr:cNvSpPr/>
        </xdr:nvSpPr>
        <xdr:spPr>
          <a:xfrm>
            <a:off x="889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0" name="$B$1">
            <a:extLst>
              <a:ext uri="{FF2B5EF4-FFF2-40B4-BE49-F238E27FC236}">
                <a16:creationId xmlns:a16="http://schemas.microsoft.com/office/drawing/2014/main" id="{30950912-4411-4BF5-A08D-6F790B22B081}"/>
              </a:ext>
            </a:extLst>
          </xdr:cNvPr>
          <xdr:cNvSpPr/>
        </xdr:nvSpPr>
        <xdr:spPr>
          <a:xfrm>
            <a:off x="101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1" name="$B$1">
            <a:extLst>
              <a:ext uri="{FF2B5EF4-FFF2-40B4-BE49-F238E27FC236}">
                <a16:creationId xmlns:a16="http://schemas.microsoft.com/office/drawing/2014/main" id="{63722F9A-CE8D-4F6D-A42F-24E31036E8D3}"/>
              </a:ext>
            </a:extLst>
          </xdr:cNvPr>
          <xdr:cNvSpPr/>
        </xdr:nvSpPr>
        <xdr:spPr>
          <a:xfrm>
            <a:off x="127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2" name="$B$1">
            <a:extLst>
              <a:ext uri="{FF2B5EF4-FFF2-40B4-BE49-F238E27FC236}">
                <a16:creationId xmlns:a16="http://schemas.microsoft.com/office/drawing/2014/main" id="{D4402718-3BC5-4C8E-BE5A-970E32C41660}"/>
              </a:ext>
            </a:extLst>
          </xdr:cNvPr>
          <xdr:cNvSpPr/>
        </xdr:nvSpPr>
        <xdr:spPr>
          <a:xfrm>
            <a:off x="152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3" name="$B$1">
            <a:extLst>
              <a:ext uri="{FF2B5EF4-FFF2-40B4-BE49-F238E27FC236}">
                <a16:creationId xmlns:a16="http://schemas.microsoft.com/office/drawing/2014/main" id="{23B00E7C-29FA-4CED-9F26-2724B443C369}"/>
              </a:ext>
            </a:extLst>
          </xdr:cNvPr>
          <xdr:cNvSpPr/>
        </xdr:nvSpPr>
        <xdr:spPr>
          <a:xfrm>
            <a:off x="177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4" name="$B$1">
            <a:extLst>
              <a:ext uri="{FF2B5EF4-FFF2-40B4-BE49-F238E27FC236}">
                <a16:creationId xmlns:a16="http://schemas.microsoft.com/office/drawing/2014/main" id="{43F9F609-7A83-4A91-A3F3-E955D61D66BC}"/>
              </a:ext>
            </a:extLst>
          </xdr:cNvPr>
          <xdr:cNvSpPr/>
        </xdr:nvSpPr>
        <xdr:spPr>
          <a:xfrm>
            <a:off x="228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5" name="$B$1">
            <a:extLst>
              <a:ext uri="{FF2B5EF4-FFF2-40B4-BE49-F238E27FC236}">
                <a16:creationId xmlns:a16="http://schemas.microsoft.com/office/drawing/2014/main" id="{328A62D1-15A4-472E-876F-9D8DBAA7EF87}"/>
              </a:ext>
            </a:extLst>
          </xdr:cNvPr>
          <xdr:cNvSpPr/>
        </xdr:nvSpPr>
        <xdr:spPr>
          <a:xfrm>
            <a:off x="2413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6" name="$B$1">
            <a:extLst>
              <a:ext uri="{FF2B5EF4-FFF2-40B4-BE49-F238E27FC236}">
                <a16:creationId xmlns:a16="http://schemas.microsoft.com/office/drawing/2014/main" id="{4FBB206D-57C5-4542-96C3-078051128637}"/>
              </a:ext>
            </a:extLst>
          </xdr:cNvPr>
          <xdr:cNvSpPr/>
        </xdr:nvSpPr>
        <xdr:spPr>
          <a:xfrm>
            <a:off x="254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7" name="$B$1">
            <a:extLst>
              <a:ext uri="{FF2B5EF4-FFF2-40B4-BE49-F238E27FC236}">
                <a16:creationId xmlns:a16="http://schemas.microsoft.com/office/drawing/2014/main" id="{062E4FDB-B1DA-4D5E-A3B1-25604BD9F432}"/>
              </a:ext>
            </a:extLst>
          </xdr:cNvPr>
          <xdr:cNvSpPr/>
        </xdr:nvSpPr>
        <xdr:spPr>
          <a:xfrm>
            <a:off x="266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8" name="$B$1">
            <a:extLst>
              <a:ext uri="{FF2B5EF4-FFF2-40B4-BE49-F238E27FC236}">
                <a16:creationId xmlns:a16="http://schemas.microsoft.com/office/drawing/2014/main" id="{7E3CE1A2-6A04-4D0C-A025-B76E3B632C59}"/>
              </a:ext>
            </a:extLst>
          </xdr:cNvPr>
          <xdr:cNvSpPr/>
        </xdr:nvSpPr>
        <xdr:spPr>
          <a:xfrm>
            <a:off x="2921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9" name="$B$1">
            <a:extLst>
              <a:ext uri="{FF2B5EF4-FFF2-40B4-BE49-F238E27FC236}">
                <a16:creationId xmlns:a16="http://schemas.microsoft.com/office/drawing/2014/main" id="{CFDCC032-1BEF-4C7B-901E-3B4A5A45525A}"/>
              </a:ext>
            </a:extLst>
          </xdr:cNvPr>
          <xdr:cNvSpPr/>
        </xdr:nvSpPr>
        <xdr:spPr>
          <a:xfrm>
            <a:off x="3175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0" name="$B$1">
            <a:extLst>
              <a:ext uri="{FF2B5EF4-FFF2-40B4-BE49-F238E27FC236}">
                <a16:creationId xmlns:a16="http://schemas.microsoft.com/office/drawing/2014/main" id="{777B28BA-E7F3-4120-9DCE-05070490D0EE}"/>
              </a:ext>
            </a:extLst>
          </xdr:cNvPr>
          <xdr:cNvSpPr/>
        </xdr:nvSpPr>
        <xdr:spPr>
          <a:xfrm>
            <a:off x="355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1" name="$B$1">
            <a:extLst>
              <a:ext uri="{FF2B5EF4-FFF2-40B4-BE49-F238E27FC236}">
                <a16:creationId xmlns:a16="http://schemas.microsoft.com/office/drawing/2014/main" id="{679D2B61-ECB0-42A5-9D38-A7B071298270}"/>
              </a:ext>
            </a:extLst>
          </xdr:cNvPr>
          <xdr:cNvSpPr/>
        </xdr:nvSpPr>
        <xdr:spPr>
          <a:xfrm>
            <a:off x="3683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2" name="$B$1">
            <a:extLst>
              <a:ext uri="{FF2B5EF4-FFF2-40B4-BE49-F238E27FC236}">
                <a16:creationId xmlns:a16="http://schemas.microsoft.com/office/drawing/2014/main" id="{6E830FBE-3AD8-4699-87F7-6E68A583489D}"/>
              </a:ext>
            </a:extLst>
          </xdr:cNvPr>
          <xdr:cNvSpPr/>
        </xdr:nvSpPr>
        <xdr:spPr>
          <a:xfrm>
            <a:off x="381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3" name="$B$1">
            <a:extLst>
              <a:ext uri="{FF2B5EF4-FFF2-40B4-BE49-F238E27FC236}">
                <a16:creationId xmlns:a16="http://schemas.microsoft.com/office/drawing/2014/main" id="{0E91416D-FB4F-4EEF-9ED1-348A7790EAAE}"/>
              </a:ext>
            </a:extLst>
          </xdr:cNvPr>
          <xdr:cNvSpPr/>
        </xdr:nvSpPr>
        <xdr:spPr>
          <a:xfrm>
            <a:off x="393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4" name="$B$1">
            <a:extLst>
              <a:ext uri="{FF2B5EF4-FFF2-40B4-BE49-F238E27FC236}">
                <a16:creationId xmlns:a16="http://schemas.microsoft.com/office/drawing/2014/main" id="{D156C49E-6643-4C95-95C5-2EBEFD113F64}"/>
              </a:ext>
            </a:extLst>
          </xdr:cNvPr>
          <xdr:cNvSpPr/>
        </xdr:nvSpPr>
        <xdr:spPr>
          <a:xfrm>
            <a:off x="4445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5" name="$B$1">
            <a:extLst>
              <a:ext uri="{FF2B5EF4-FFF2-40B4-BE49-F238E27FC236}">
                <a16:creationId xmlns:a16="http://schemas.microsoft.com/office/drawing/2014/main" id="{31302488-4571-4E51-92A7-0E21C3173CE8}"/>
              </a:ext>
            </a:extLst>
          </xdr:cNvPr>
          <xdr:cNvSpPr/>
        </xdr:nvSpPr>
        <xdr:spPr>
          <a:xfrm>
            <a:off x="4572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6" name="$B$1">
            <a:extLst>
              <a:ext uri="{FF2B5EF4-FFF2-40B4-BE49-F238E27FC236}">
                <a16:creationId xmlns:a16="http://schemas.microsoft.com/office/drawing/2014/main" id="{F4B82D9F-6922-4AA7-8FC0-B4D2934C4991}"/>
              </a:ext>
            </a:extLst>
          </xdr:cNvPr>
          <xdr:cNvSpPr/>
        </xdr:nvSpPr>
        <xdr:spPr>
          <a:xfrm>
            <a:off x="482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7" name="$B$1">
            <a:extLst>
              <a:ext uri="{FF2B5EF4-FFF2-40B4-BE49-F238E27FC236}">
                <a16:creationId xmlns:a16="http://schemas.microsoft.com/office/drawing/2014/main" id="{B5F6E826-3405-4E56-95EE-38CDE85B4133}"/>
              </a:ext>
            </a:extLst>
          </xdr:cNvPr>
          <xdr:cNvSpPr/>
        </xdr:nvSpPr>
        <xdr:spPr>
          <a:xfrm>
            <a:off x="508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8" name="$B$1">
            <a:extLst>
              <a:ext uri="{FF2B5EF4-FFF2-40B4-BE49-F238E27FC236}">
                <a16:creationId xmlns:a16="http://schemas.microsoft.com/office/drawing/2014/main" id="{9DF8BF63-D24C-4CD6-A6A2-98B563AEC1CC}"/>
              </a:ext>
            </a:extLst>
          </xdr:cNvPr>
          <xdr:cNvSpPr/>
        </xdr:nvSpPr>
        <xdr:spPr>
          <a:xfrm>
            <a:off x="558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9" name="$B$1">
            <a:extLst>
              <a:ext uri="{FF2B5EF4-FFF2-40B4-BE49-F238E27FC236}">
                <a16:creationId xmlns:a16="http://schemas.microsoft.com/office/drawing/2014/main" id="{F51842D1-5290-418F-B893-45CB2BFF8639}"/>
              </a:ext>
            </a:extLst>
          </xdr:cNvPr>
          <xdr:cNvSpPr/>
        </xdr:nvSpPr>
        <xdr:spPr>
          <a:xfrm>
            <a:off x="5715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0" name="$B$1">
            <a:extLst>
              <a:ext uri="{FF2B5EF4-FFF2-40B4-BE49-F238E27FC236}">
                <a16:creationId xmlns:a16="http://schemas.microsoft.com/office/drawing/2014/main" id="{9B9F0285-B0AE-4249-B285-416E9990812F}"/>
              </a:ext>
            </a:extLst>
          </xdr:cNvPr>
          <xdr:cNvSpPr/>
        </xdr:nvSpPr>
        <xdr:spPr>
          <a:xfrm>
            <a:off x="660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1" name="$B$1">
            <a:extLst>
              <a:ext uri="{FF2B5EF4-FFF2-40B4-BE49-F238E27FC236}">
                <a16:creationId xmlns:a16="http://schemas.microsoft.com/office/drawing/2014/main" id="{B9C05E44-C7A9-430D-978F-403ECEA2CD20}"/>
              </a:ext>
            </a:extLst>
          </xdr:cNvPr>
          <xdr:cNvSpPr/>
        </xdr:nvSpPr>
        <xdr:spPr>
          <a:xfrm>
            <a:off x="6731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2" name="$B$1">
            <a:extLst>
              <a:ext uri="{FF2B5EF4-FFF2-40B4-BE49-F238E27FC236}">
                <a16:creationId xmlns:a16="http://schemas.microsoft.com/office/drawing/2014/main" id="{D069D691-4E14-4372-853C-549EFD0823B9}"/>
              </a:ext>
            </a:extLst>
          </xdr:cNvPr>
          <xdr:cNvSpPr/>
        </xdr:nvSpPr>
        <xdr:spPr>
          <a:xfrm>
            <a:off x="685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3" name="$B$1">
            <a:extLst>
              <a:ext uri="{FF2B5EF4-FFF2-40B4-BE49-F238E27FC236}">
                <a16:creationId xmlns:a16="http://schemas.microsoft.com/office/drawing/2014/main" id="{1A7858F6-A342-4365-A0BF-7A8B4BCF05B4}"/>
              </a:ext>
            </a:extLst>
          </xdr:cNvPr>
          <xdr:cNvSpPr/>
        </xdr:nvSpPr>
        <xdr:spPr>
          <a:xfrm>
            <a:off x="7112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4" name="$B$1">
            <a:extLst>
              <a:ext uri="{FF2B5EF4-FFF2-40B4-BE49-F238E27FC236}">
                <a16:creationId xmlns:a16="http://schemas.microsoft.com/office/drawing/2014/main" id="{DADE7CEE-1B62-4E99-8067-F0DE47D2300A}"/>
              </a:ext>
            </a:extLst>
          </xdr:cNvPr>
          <xdr:cNvSpPr/>
        </xdr:nvSpPr>
        <xdr:spPr>
          <a:xfrm>
            <a:off x="736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5" name="$B$1">
            <a:extLst>
              <a:ext uri="{FF2B5EF4-FFF2-40B4-BE49-F238E27FC236}">
                <a16:creationId xmlns:a16="http://schemas.microsoft.com/office/drawing/2014/main" id="{177D8C42-C301-49C1-AF24-BBD8F3F1AB15}"/>
              </a:ext>
            </a:extLst>
          </xdr:cNvPr>
          <xdr:cNvSpPr/>
        </xdr:nvSpPr>
        <xdr:spPr>
          <a:xfrm>
            <a:off x="762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6" name="$B$1">
            <a:extLst>
              <a:ext uri="{FF2B5EF4-FFF2-40B4-BE49-F238E27FC236}">
                <a16:creationId xmlns:a16="http://schemas.microsoft.com/office/drawing/2014/main" id="{F3915FC4-07A0-4DB9-BB32-B11BCEB3B32F}"/>
              </a:ext>
            </a:extLst>
          </xdr:cNvPr>
          <xdr:cNvSpPr/>
        </xdr:nvSpPr>
        <xdr:spPr>
          <a:xfrm>
            <a:off x="774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7" name="$B$1">
            <a:extLst>
              <a:ext uri="{FF2B5EF4-FFF2-40B4-BE49-F238E27FC236}">
                <a16:creationId xmlns:a16="http://schemas.microsoft.com/office/drawing/2014/main" id="{4CCC37A6-4FC9-4EC3-A364-7A01CC29236C}"/>
              </a:ext>
            </a:extLst>
          </xdr:cNvPr>
          <xdr:cNvSpPr/>
        </xdr:nvSpPr>
        <xdr:spPr>
          <a:xfrm>
            <a:off x="787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8" name="$B$1">
            <a:extLst>
              <a:ext uri="{FF2B5EF4-FFF2-40B4-BE49-F238E27FC236}">
                <a16:creationId xmlns:a16="http://schemas.microsoft.com/office/drawing/2014/main" id="{1469891E-5A38-408B-9BA0-E00F65DB5159}"/>
              </a:ext>
            </a:extLst>
          </xdr:cNvPr>
          <xdr:cNvSpPr/>
        </xdr:nvSpPr>
        <xdr:spPr>
          <a:xfrm>
            <a:off x="8763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9" name="$B$1">
            <a:extLst>
              <a:ext uri="{FF2B5EF4-FFF2-40B4-BE49-F238E27FC236}">
                <a16:creationId xmlns:a16="http://schemas.microsoft.com/office/drawing/2014/main" id="{C4137087-9187-4B88-A02D-7BA25945CE3D}"/>
              </a:ext>
            </a:extLst>
          </xdr:cNvPr>
          <xdr:cNvSpPr/>
        </xdr:nvSpPr>
        <xdr:spPr>
          <a:xfrm>
            <a:off x="889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0" name="$B$1">
            <a:extLst>
              <a:ext uri="{FF2B5EF4-FFF2-40B4-BE49-F238E27FC236}">
                <a16:creationId xmlns:a16="http://schemas.microsoft.com/office/drawing/2014/main" id="{3D4C8A86-6169-4DD6-9996-6DBFC3D3389F}"/>
              </a:ext>
            </a:extLst>
          </xdr:cNvPr>
          <xdr:cNvSpPr/>
        </xdr:nvSpPr>
        <xdr:spPr>
          <a:xfrm>
            <a:off x="901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1" name="$B$1">
            <a:extLst>
              <a:ext uri="{FF2B5EF4-FFF2-40B4-BE49-F238E27FC236}">
                <a16:creationId xmlns:a16="http://schemas.microsoft.com/office/drawing/2014/main" id="{E152EE31-4C14-4696-B4FE-A418D16E8F42}"/>
              </a:ext>
            </a:extLst>
          </xdr:cNvPr>
          <xdr:cNvSpPr/>
        </xdr:nvSpPr>
        <xdr:spPr>
          <a:xfrm>
            <a:off x="914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2" name="$B$1">
            <a:extLst>
              <a:ext uri="{FF2B5EF4-FFF2-40B4-BE49-F238E27FC236}">
                <a16:creationId xmlns:a16="http://schemas.microsoft.com/office/drawing/2014/main" id="{5905FC0B-56AD-4BBC-B756-BC1E77E7088C}"/>
              </a:ext>
            </a:extLst>
          </xdr:cNvPr>
          <xdr:cNvSpPr/>
        </xdr:nvSpPr>
        <xdr:spPr>
          <a:xfrm>
            <a:off x="9271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3" name="$B$1">
            <a:extLst>
              <a:ext uri="{FF2B5EF4-FFF2-40B4-BE49-F238E27FC236}">
                <a16:creationId xmlns:a16="http://schemas.microsoft.com/office/drawing/2014/main" id="{ECD074BA-6A53-47D8-B21E-63F2F157FDF7}"/>
              </a:ext>
            </a:extLst>
          </xdr:cNvPr>
          <xdr:cNvSpPr/>
        </xdr:nvSpPr>
        <xdr:spPr>
          <a:xfrm>
            <a:off x="939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4" name="$B$1">
            <a:extLst>
              <a:ext uri="{FF2B5EF4-FFF2-40B4-BE49-F238E27FC236}">
                <a16:creationId xmlns:a16="http://schemas.microsoft.com/office/drawing/2014/main" id="{3B1E49C5-4DDD-48B5-BF02-121B4DF64DF3}"/>
              </a:ext>
            </a:extLst>
          </xdr:cNvPr>
          <xdr:cNvSpPr/>
        </xdr:nvSpPr>
        <xdr:spPr>
          <a:xfrm>
            <a:off x="9525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5" name="$B$1">
            <a:extLst>
              <a:ext uri="{FF2B5EF4-FFF2-40B4-BE49-F238E27FC236}">
                <a16:creationId xmlns:a16="http://schemas.microsoft.com/office/drawing/2014/main" id="{3ADE9C0F-BB18-49DB-82D6-87F02D86BB2B}"/>
              </a:ext>
            </a:extLst>
          </xdr:cNvPr>
          <xdr:cNvSpPr/>
        </xdr:nvSpPr>
        <xdr:spPr>
          <a:xfrm>
            <a:off x="9779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6" name="$B$1">
            <a:extLst>
              <a:ext uri="{FF2B5EF4-FFF2-40B4-BE49-F238E27FC236}">
                <a16:creationId xmlns:a16="http://schemas.microsoft.com/office/drawing/2014/main" id="{9F68822D-26EB-4446-90B4-35DCD271E320}"/>
              </a:ext>
            </a:extLst>
          </xdr:cNvPr>
          <xdr:cNvSpPr/>
        </xdr:nvSpPr>
        <xdr:spPr>
          <a:xfrm>
            <a:off x="1028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7" name="$B$1">
            <a:extLst>
              <a:ext uri="{FF2B5EF4-FFF2-40B4-BE49-F238E27FC236}">
                <a16:creationId xmlns:a16="http://schemas.microsoft.com/office/drawing/2014/main" id="{C41FAF3C-21D6-4A80-A8F8-B31C83A836C6}"/>
              </a:ext>
            </a:extLst>
          </xdr:cNvPr>
          <xdr:cNvSpPr/>
        </xdr:nvSpPr>
        <xdr:spPr>
          <a:xfrm>
            <a:off x="10541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8" name="$B$1">
            <a:extLst>
              <a:ext uri="{FF2B5EF4-FFF2-40B4-BE49-F238E27FC236}">
                <a16:creationId xmlns:a16="http://schemas.microsoft.com/office/drawing/2014/main" id="{CA1780FC-1D20-4893-832B-C36ACEE80E8C}"/>
              </a:ext>
            </a:extLst>
          </xdr:cNvPr>
          <xdr:cNvSpPr/>
        </xdr:nvSpPr>
        <xdr:spPr>
          <a:xfrm>
            <a:off x="10922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9" name="$B$1">
            <a:extLst>
              <a:ext uri="{FF2B5EF4-FFF2-40B4-BE49-F238E27FC236}">
                <a16:creationId xmlns:a16="http://schemas.microsoft.com/office/drawing/2014/main" id="{C76CA115-5CDA-4506-AF3F-2AB8060F6C16}"/>
              </a:ext>
            </a:extLst>
          </xdr:cNvPr>
          <xdr:cNvSpPr/>
        </xdr:nvSpPr>
        <xdr:spPr>
          <a:xfrm>
            <a:off x="12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0" name="$B$1">
            <a:extLst>
              <a:ext uri="{FF2B5EF4-FFF2-40B4-BE49-F238E27FC236}">
                <a16:creationId xmlns:a16="http://schemas.microsoft.com/office/drawing/2014/main" id="{02D48C06-8FDE-490E-B2D0-D82022F00DC3}"/>
              </a:ext>
            </a:extLst>
          </xdr:cNvPr>
          <xdr:cNvSpPr/>
        </xdr:nvSpPr>
        <xdr:spPr>
          <a:xfrm>
            <a:off x="25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1" name="$B$1">
            <a:extLst>
              <a:ext uri="{FF2B5EF4-FFF2-40B4-BE49-F238E27FC236}">
                <a16:creationId xmlns:a16="http://schemas.microsoft.com/office/drawing/2014/main" id="{A0C27178-5853-48B0-99C3-475F1315254E}"/>
              </a:ext>
            </a:extLst>
          </xdr:cNvPr>
          <xdr:cNvSpPr/>
        </xdr:nvSpPr>
        <xdr:spPr>
          <a:xfrm>
            <a:off x="38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2" name="$B$1">
            <a:extLst>
              <a:ext uri="{FF2B5EF4-FFF2-40B4-BE49-F238E27FC236}">
                <a16:creationId xmlns:a16="http://schemas.microsoft.com/office/drawing/2014/main" id="{9390CB54-971B-4C4D-8B36-681AA2245E87}"/>
              </a:ext>
            </a:extLst>
          </xdr:cNvPr>
          <xdr:cNvSpPr/>
        </xdr:nvSpPr>
        <xdr:spPr>
          <a:xfrm>
            <a:off x="50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3" name="$B$1">
            <a:extLst>
              <a:ext uri="{FF2B5EF4-FFF2-40B4-BE49-F238E27FC236}">
                <a16:creationId xmlns:a16="http://schemas.microsoft.com/office/drawing/2014/main" id="{497C628F-D3E5-4ED0-9C90-933A661093E6}"/>
              </a:ext>
            </a:extLst>
          </xdr:cNvPr>
          <xdr:cNvSpPr/>
        </xdr:nvSpPr>
        <xdr:spPr>
          <a:xfrm>
            <a:off x="63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4" name="$B$1">
            <a:extLst>
              <a:ext uri="{FF2B5EF4-FFF2-40B4-BE49-F238E27FC236}">
                <a16:creationId xmlns:a16="http://schemas.microsoft.com/office/drawing/2014/main" id="{82911B87-E61F-4666-93C7-CB8B0D28D488}"/>
              </a:ext>
            </a:extLst>
          </xdr:cNvPr>
          <xdr:cNvSpPr/>
        </xdr:nvSpPr>
        <xdr:spPr>
          <a:xfrm>
            <a:off x="762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5" name="$B$1">
            <a:extLst>
              <a:ext uri="{FF2B5EF4-FFF2-40B4-BE49-F238E27FC236}">
                <a16:creationId xmlns:a16="http://schemas.microsoft.com/office/drawing/2014/main" id="{A81052A0-9619-4090-A0D7-9A33AB6B5899}"/>
              </a:ext>
            </a:extLst>
          </xdr:cNvPr>
          <xdr:cNvSpPr/>
        </xdr:nvSpPr>
        <xdr:spPr>
          <a:xfrm>
            <a:off x="889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6" name="$B$1">
            <a:extLst>
              <a:ext uri="{FF2B5EF4-FFF2-40B4-BE49-F238E27FC236}">
                <a16:creationId xmlns:a16="http://schemas.microsoft.com/office/drawing/2014/main" id="{A2F1CF8A-71FD-48E4-863F-EF63DDFBC987}"/>
              </a:ext>
            </a:extLst>
          </xdr:cNvPr>
          <xdr:cNvSpPr/>
        </xdr:nvSpPr>
        <xdr:spPr>
          <a:xfrm>
            <a:off x="1016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7" name="$B$1">
            <a:extLst>
              <a:ext uri="{FF2B5EF4-FFF2-40B4-BE49-F238E27FC236}">
                <a16:creationId xmlns:a16="http://schemas.microsoft.com/office/drawing/2014/main" id="{EFAAC4F0-ED43-4E79-A50B-29DB6DBE3EE7}"/>
              </a:ext>
            </a:extLst>
          </xdr:cNvPr>
          <xdr:cNvSpPr/>
        </xdr:nvSpPr>
        <xdr:spPr>
          <a:xfrm>
            <a:off x="1270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8" name="$B$1">
            <a:extLst>
              <a:ext uri="{FF2B5EF4-FFF2-40B4-BE49-F238E27FC236}">
                <a16:creationId xmlns:a16="http://schemas.microsoft.com/office/drawing/2014/main" id="{6FDB377A-569D-4040-9D4C-C12CF9401C5B}"/>
              </a:ext>
            </a:extLst>
          </xdr:cNvPr>
          <xdr:cNvSpPr/>
        </xdr:nvSpPr>
        <xdr:spPr>
          <a:xfrm>
            <a:off x="152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9" name="$B$1">
            <a:extLst>
              <a:ext uri="{FF2B5EF4-FFF2-40B4-BE49-F238E27FC236}">
                <a16:creationId xmlns:a16="http://schemas.microsoft.com/office/drawing/2014/main" id="{34793DB6-C5B7-48C2-84C6-E558ACB5268C}"/>
              </a:ext>
            </a:extLst>
          </xdr:cNvPr>
          <xdr:cNvSpPr/>
        </xdr:nvSpPr>
        <xdr:spPr>
          <a:xfrm>
            <a:off x="177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0" name="$B$1">
            <a:extLst>
              <a:ext uri="{FF2B5EF4-FFF2-40B4-BE49-F238E27FC236}">
                <a16:creationId xmlns:a16="http://schemas.microsoft.com/office/drawing/2014/main" id="{F5F74C5E-5802-4129-B99B-7C1CAEE21E49}"/>
              </a:ext>
            </a:extLst>
          </xdr:cNvPr>
          <xdr:cNvSpPr/>
        </xdr:nvSpPr>
        <xdr:spPr>
          <a:xfrm>
            <a:off x="2286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1" name="$B$1">
            <a:extLst>
              <a:ext uri="{FF2B5EF4-FFF2-40B4-BE49-F238E27FC236}">
                <a16:creationId xmlns:a16="http://schemas.microsoft.com/office/drawing/2014/main" id="{B9F9B36F-A53D-43A9-96CA-83FB4FF2933C}"/>
              </a:ext>
            </a:extLst>
          </xdr:cNvPr>
          <xdr:cNvSpPr/>
        </xdr:nvSpPr>
        <xdr:spPr>
          <a:xfrm>
            <a:off x="2413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2" name="$B$1">
            <a:extLst>
              <a:ext uri="{FF2B5EF4-FFF2-40B4-BE49-F238E27FC236}">
                <a16:creationId xmlns:a16="http://schemas.microsoft.com/office/drawing/2014/main" id="{D8BA5706-5033-4EED-A9F8-105C44158A63}"/>
              </a:ext>
            </a:extLst>
          </xdr:cNvPr>
          <xdr:cNvSpPr/>
        </xdr:nvSpPr>
        <xdr:spPr>
          <a:xfrm>
            <a:off x="2540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3" name="$B$1">
            <a:extLst>
              <a:ext uri="{FF2B5EF4-FFF2-40B4-BE49-F238E27FC236}">
                <a16:creationId xmlns:a16="http://schemas.microsoft.com/office/drawing/2014/main" id="{2E5F9C11-776A-4D06-9936-9D16FAB0C484}"/>
              </a:ext>
            </a:extLst>
          </xdr:cNvPr>
          <xdr:cNvSpPr/>
        </xdr:nvSpPr>
        <xdr:spPr>
          <a:xfrm>
            <a:off x="266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4" name="$B$1">
            <a:extLst>
              <a:ext uri="{FF2B5EF4-FFF2-40B4-BE49-F238E27FC236}">
                <a16:creationId xmlns:a16="http://schemas.microsoft.com/office/drawing/2014/main" id="{16278E87-9B7D-4DDA-ABA2-9A82F8CEC471}"/>
              </a:ext>
            </a:extLst>
          </xdr:cNvPr>
          <xdr:cNvSpPr/>
        </xdr:nvSpPr>
        <xdr:spPr>
          <a:xfrm>
            <a:off x="279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5" name="$B$1">
            <a:extLst>
              <a:ext uri="{FF2B5EF4-FFF2-40B4-BE49-F238E27FC236}">
                <a16:creationId xmlns:a16="http://schemas.microsoft.com/office/drawing/2014/main" id="{D3FBEC29-ABEC-481A-8DC2-6B486299F4A4}"/>
              </a:ext>
            </a:extLst>
          </xdr:cNvPr>
          <xdr:cNvSpPr/>
        </xdr:nvSpPr>
        <xdr:spPr>
          <a:xfrm>
            <a:off x="292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6" name="$B$1">
            <a:extLst>
              <a:ext uri="{FF2B5EF4-FFF2-40B4-BE49-F238E27FC236}">
                <a16:creationId xmlns:a16="http://schemas.microsoft.com/office/drawing/2014/main" id="{A77EE0CF-5FC3-4D21-9C5F-85201F4CB6E5}"/>
              </a:ext>
            </a:extLst>
          </xdr:cNvPr>
          <xdr:cNvSpPr/>
        </xdr:nvSpPr>
        <xdr:spPr>
          <a:xfrm>
            <a:off x="317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7" name="$B$1">
            <a:extLst>
              <a:ext uri="{FF2B5EF4-FFF2-40B4-BE49-F238E27FC236}">
                <a16:creationId xmlns:a16="http://schemas.microsoft.com/office/drawing/2014/main" id="{128B959E-41D0-4E6A-9F34-46994CFBCFAC}"/>
              </a:ext>
            </a:extLst>
          </xdr:cNvPr>
          <xdr:cNvSpPr/>
        </xdr:nvSpPr>
        <xdr:spPr>
          <a:xfrm>
            <a:off x="3429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8" name="$B$1">
            <a:extLst>
              <a:ext uri="{FF2B5EF4-FFF2-40B4-BE49-F238E27FC236}">
                <a16:creationId xmlns:a16="http://schemas.microsoft.com/office/drawing/2014/main" id="{562D7154-FE74-4539-802D-0AB80D977A27}"/>
              </a:ext>
            </a:extLst>
          </xdr:cNvPr>
          <xdr:cNvSpPr/>
        </xdr:nvSpPr>
        <xdr:spPr>
          <a:xfrm>
            <a:off x="393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9" name="$B$1">
            <a:extLst>
              <a:ext uri="{FF2B5EF4-FFF2-40B4-BE49-F238E27FC236}">
                <a16:creationId xmlns:a16="http://schemas.microsoft.com/office/drawing/2014/main" id="{45FC442A-2562-4400-A5FF-510F9D0BA25B}"/>
              </a:ext>
            </a:extLst>
          </xdr:cNvPr>
          <xdr:cNvSpPr/>
        </xdr:nvSpPr>
        <xdr:spPr>
          <a:xfrm>
            <a:off x="406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0" name="$B$1">
            <a:extLst>
              <a:ext uri="{FF2B5EF4-FFF2-40B4-BE49-F238E27FC236}">
                <a16:creationId xmlns:a16="http://schemas.microsoft.com/office/drawing/2014/main" id="{359A5479-1A39-4ECD-AA3E-D0A1832255BA}"/>
              </a:ext>
            </a:extLst>
          </xdr:cNvPr>
          <xdr:cNvSpPr/>
        </xdr:nvSpPr>
        <xdr:spPr>
          <a:xfrm>
            <a:off x="419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1" name="$B$1">
            <a:extLst>
              <a:ext uri="{FF2B5EF4-FFF2-40B4-BE49-F238E27FC236}">
                <a16:creationId xmlns:a16="http://schemas.microsoft.com/office/drawing/2014/main" id="{E6506F2F-842B-4A1A-967E-5BE35A886B47}"/>
              </a:ext>
            </a:extLst>
          </xdr:cNvPr>
          <xdr:cNvSpPr/>
        </xdr:nvSpPr>
        <xdr:spPr>
          <a:xfrm>
            <a:off x="444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2" name="$B$1">
            <a:extLst>
              <a:ext uri="{FF2B5EF4-FFF2-40B4-BE49-F238E27FC236}">
                <a16:creationId xmlns:a16="http://schemas.microsoft.com/office/drawing/2014/main" id="{827A7181-0CC4-400C-A50F-1E8F80E53D65}"/>
              </a:ext>
            </a:extLst>
          </xdr:cNvPr>
          <xdr:cNvSpPr/>
        </xdr:nvSpPr>
        <xdr:spPr>
          <a:xfrm>
            <a:off x="4699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3" name="$B$1">
            <a:extLst>
              <a:ext uri="{FF2B5EF4-FFF2-40B4-BE49-F238E27FC236}">
                <a16:creationId xmlns:a16="http://schemas.microsoft.com/office/drawing/2014/main" id="{73912076-F7FC-43A0-BB33-970106DA49F3}"/>
              </a:ext>
            </a:extLst>
          </xdr:cNvPr>
          <xdr:cNvSpPr/>
        </xdr:nvSpPr>
        <xdr:spPr>
          <a:xfrm>
            <a:off x="4826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4" name="$B$1">
            <a:extLst>
              <a:ext uri="{FF2B5EF4-FFF2-40B4-BE49-F238E27FC236}">
                <a16:creationId xmlns:a16="http://schemas.microsoft.com/office/drawing/2014/main" id="{3067B931-3EB8-4BF7-A53D-42E5D25B3B89}"/>
              </a:ext>
            </a:extLst>
          </xdr:cNvPr>
          <xdr:cNvSpPr/>
        </xdr:nvSpPr>
        <xdr:spPr>
          <a:xfrm>
            <a:off x="4953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5" name="$B$1">
            <a:extLst>
              <a:ext uri="{FF2B5EF4-FFF2-40B4-BE49-F238E27FC236}">
                <a16:creationId xmlns:a16="http://schemas.microsoft.com/office/drawing/2014/main" id="{1C1B7E87-4B5B-4438-9480-FB072E4CFF9D}"/>
              </a:ext>
            </a:extLst>
          </xdr:cNvPr>
          <xdr:cNvSpPr/>
        </xdr:nvSpPr>
        <xdr:spPr>
          <a:xfrm>
            <a:off x="5080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6" name="$B$1">
            <a:extLst>
              <a:ext uri="{FF2B5EF4-FFF2-40B4-BE49-F238E27FC236}">
                <a16:creationId xmlns:a16="http://schemas.microsoft.com/office/drawing/2014/main" id="{012565BA-3C50-4383-91DD-5B155B031DE8}"/>
              </a:ext>
            </a:extLst>
          </xdr:cNvPr>
          <xdr:cNvSpPr/>
        </xdr:nvSpPr>
        <xdr:spPr>
          <a:xfrm>
            <a:off x="520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7" name="$B$1">
            <a:extLst>
              <a:ext uri="{FF2B5EF4-FFF2-40B4-BE49-F238E27FC236}">
                <a16:creationId xmlns:a16="http://schemas.microsoft.com/office/drawing/2014/main" id="{B1D2FE26-0186-44E8-B635-8821E428C10C}"/>
              </a:ext>
            </a:extLst>
          </xdr:cNvPr>
          <xdr:cNvSpPr/>
        </xdr:nvSpPr>
        <xdr:spPr>
          <a:xfrm>
            <a:off x="533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8" name="$B$1">
            <a:extLst>
              <a:ext uri="{FF2B5EF4-FFF2-40B4-BE49-F238E27FC236}">
                <a16:creationId xmlns:a16="http://schemas.microsoft.com/office/drawing/2014/main" id="{711828B6-4739-4FAA-B8CD-AF7D08BCE8AF}"/>
              </a:ext>
            </a:extLst>
          </xdr:cNvPr>
          <xdr:cNvSpPr/>
        </xdr:nvSpPr>
        <xdr:spPr>
          <a:xfrm>
            <a:off x="558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9" name="$B$1">
            <a:extLst>
              <a:ext uri="{FF2B5EF4-FFF2-40B4-BE49-F238E27FC236}">
                <a16:creationId xmlns:a16="http://schemas.microsoft.com/office/drawing/2014/main" id="{D68EF738-8C4A-4432-BA8B-2AA963FD8B81}"/>
              </a:ext>
            </a:extLst>
          </xdr:cNvPr>
          <xdr:cNvSpPr/>
        </xdr:nvSpPr>
        <xdr:spPr>
          <a:xfrm>
            <a:off x="5969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0" name="$B$1">
            <a:extLst>
              <a:ext uri="{FF2B5EF4-FFF2-40B4-BE49-F238E27FC236}">
                <a16:creationId xmlns:a16="http://schemas.microsoft.com/office/drawing/2014/main" id="{89F89AFF-07FF-4884-B713-B11138C45C44}"/>
              </a:ext>
            </a:extLst>
          </xdr:cNvPr>
          <xdr:cNvSpPr/>
        </xdr:nvSpPr>
        <xdr:spPr>
          <a:xfrm>
            <a:off x="6096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1" name="$B$1">
            <a:extLst>
              <a:ext uri="{FF2B5EF4-FFF2-40B4-BE49-F238E27FC236}">
                <a16:creationId xmlns:a16="http://schemas.microsoft.com/office/drawing/2014/main" id="{31130F94-E96D-4134-B30F-2B2E83E74F88}"/>
              </a:ext>
            </a:extLst>
          </xdr:cNvPr>
          <xdr:cNvSpPr/>
        </xdr:nvSpPr>
        <xdr:spPr>
          <a:xfrm>
            <a:off x="660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2" name="$B$1">
            <a:extLst>
              <a:ext uri="{FF2B5EF4-FFF2-40B4-BE49-F238E27FC236}">
                <a16:creationId xmlns:a16="http://schemas.microsoft.com/office/drawing/2014/main" id="{56965B7F-6096-4D0E-90CE-EB8F066BFF3D}"/>
              </a:ext>
            </a:extLst>
          </xdr:cNvPr>
          <xdr:cNvSpPr/>
        </xdr:nvSpPr>
        <xdr:spPr>
          <a:xfrm>
            <a:off x="673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3" name="$B$1">
            <a:extLst>
              <a:ext uri="{FF2B5EF4-FFF2-40B4-BE49-F238E27FC236}">
                <a16:creationId xmlns:a16="http://schemas.microsoft.com/office/drawing/2014/main" id="{A5A65A75-A4C3-4441-84AA-2055095BADD9}"/>
              </a:ext>
            </a:extLst>
          </xdr:cNvPr>
          <xdr:cNvSpPr/>
        </xdr:nvSpPr>
        <xdr:spPr>
          <a:xfrm>
            <a:off x="685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4" name="$B$1">
            <a:extLst>
              <a:ext uri="{FF2B5EF4-FFF2-40B4-BE49-F238E27FC236}">
                <a16:creationId xmlns:a16="http://schemas.microsoft.com/office/drawing/2014/main" id="{A355BF55-8C7E-40B9-A887-099E38788F54}"/>
              </a:ext>
            </a:extLst>
          </xdr:cNvPr>
          <xdr:cNvSpPr/>
        </xdr:nvSpPr>
        <xdr:spPr>
          <a:xfrm>
            <a:off x="698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5" name="$B$1">
            <a:extLst>
              <a:ext uri="{FF2B5EF4-FFF2-40B4-BE49-F238E27FC236}">
                <a16:creationId xmlns:a16="http://schemas.microsoft.com/office/drawing/2014/main" id="{FB4603F5-07D2-4A35-B58D-7AE5DFCC863D}"/>
              </a:ext>
            </a:extLst>
          </xdr:cNvPr>
          <xdr:cNvSpPr/>
        </xdr:nvSpPr>
        <xdr:spPr>
          <a:xfrm>
            <a:off x="7112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6" name="$B$1">
            <a:extLst>
              <a:ext uri="{FF2B5EF4-FFF2-40B4-BE49-F238E27FC236}">
                <a16:creationId xmlns:a16="http://schemas.microsoft.com/office/drawing/2014/main" id="{8A9C138C-E617-48EB-9BD0-4B1A04D58AF2}"/>
              </a:ext>
            </a:extLst>
          </xdr:cNvPr>
          <xdr:cNvSpPr/>
        </xdr:nvSpPr>
        <xdr:spPr>
          <a:xfrm>
            <a:off x="7239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7" name="$B$1">
            <a:extLst>
              <a:ext uri="{FF2B5EF4-FFF2-40B4-BE49-F238E27FC236}">
                <a16:creationId xmlns:a16="http://schemas.microsoft.com/office/drawing/2014/main" id="{DCE70366-F7AC-4149-9748-BC93A41F1F51}"/>
              </a:ext>
            </a:extLst>
          </xdr:cNvPr>
          <xdr:cNvSpPr/>
        </xdr:nvSpPr>
        <xdr:spPr>
          <a:xfrm>
            <a:off x="7493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8" name="$B$1">
            <a:extLst>
              <a:ext uri="{FF2B5EF4-FFF2-40B4-BE49-F238E27FC236}">
                <a16:creationId xmlns:a16="http://schemas.microsoft.com/office/drawing/2014/main" id="{D15AC1D8-F2DA-4FD0-81EC-DFBA3F219B14}"/>
              </a:ext>
            </a:extLst>
          </xdr:cNvPr>
          <xdr:cNvSpPr/>
        </xdr:nvSpPr>
        <xdr:spPr>
          <a:xfrm>
            <a:off x="774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9" name="$B$1">
            <a:extLst>
              <a:ext uri="{FF2B5EF4-FFF2-40B4-BE49-F238E27FC236}">
                <a16:creationId xmlns:a16="http://schemas.microsoft.com/office/drawing/2014/main" id="{2E9928F8-5918-4816-88DB-FF60664EB8B7}"/>
              </a:ext>
            </a:extLst>
          </xdr:cNvPr>
          <xdr:cNvSpPr/>
        </xdr:nvSpPr>
        <xdr:spPr>
          <a:xfrm>
            <a:off x="812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0" name="$B$1">
            <a:extLst>
              <a:ext uri="{FF2B5EF4-FFF2-40B4-BE49-F238E27FC236}">
                <a16:creationId xmlns:a16="http://schemas.microsoft.com/office/drawing/2014/main" id="{75E91354-597C-413D-B0F9-552A63E87BD1}"/>
              </a:ext>
            </a:extLst>
          </xdr:cNvPr>
          <xdr:cNvSpPr/>
        </xdr:nvSpPr>
        <xdr:spPr>
          <a:xfrm>
            <a:off x="825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1" name="$B$1">
            <a:extLst>
              <a:ext uri="{FF2B5EF4-FFF2-40B4-BE49-F238E27FC236}">
                <a16:creationId xmlns:a16="http://schemas.microsoft.com/office/drawing/2014/main" id="{7568D119-9F3F-4432-97B4-873F4CDC15DD}"/>
              </a:ext>
            </a:extLst>
          </xdr:cNvPr>
          <xdr:cNvSpPr/>
        </xdr:nvSpPr>
        <xdr:spPr>
          <a:xfrm>
            <a:off x="8382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2" name="$B$1">
            <a:extLst>
              <a:ext uri="{FF2B5EF4-FFF2-40B4-BE49-F238E27FC236}">
                <a16:creationId xmlns:a16="http://schemas.microsoft.com/office/drawing/2014/main" id="{945E7411-ED2E-4001-94C1-F7C5002AE0D2}"/>
              </a:ext>
            </a:extLst>
          </xdr:cNvPr>
          <xdr:cNvSpPr/>
        </xdr:nvSpPr>
        <xdr:spPr>
          <a:xfrm>
            <a:off x="8763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3" name="$B$1">
            <a:extLst>
              <a:ext uri="{FF2B5EF4-FFF2-40B4-BE49-F238E27FC236}">
                <a16:creationId xmlns:a16="http://schemas.microsoft.com/office/drawing/2014/main" id="{38FE319D-CC4E-40AE-9D98-2CC02EF0DFD1}"/>
              </a:ext>
            </a:extLst>
          </xdr:cNvPr>
          <xdr:cNvSpPr/>
        </xdr:nvSpPr>
        <xdr:spPr>
          <a:xfrm>
            <a:off x="8890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4" name="$B$1">
            <a:extLst>
              <a:ext uri="{FF2B5EF4-FFF2-40B4-BE49-F238E27FC236}">
                <a16:creationId xmlns:a16="http://schemas.microsoft.com/office/drawing/2014/main" id="{B77987F7-0BCA-4290-8A6F-88641145FB26}"/>
              </a:ext>
            </a:extLst>
          </xdr:cNvPr>
          <xdr:cNvSpPr/>
        </xdr:nvSpPr>
        <xdr:spPr>
          <a:xfrm>
            <a:off x="901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5" name="$B$1">
            <a:extLst>
              <a:ext uri="{FF2B5EF4-FFF2-40B4-BE49-F238E27FC236}">
                <a16:creationId xmlns:a16="http://schemas.microsoft.com/office/drawing/2014/main" id="{533876C8-A001-4271-99C7-C32175DFFD14}"/>
              </a:ext>
            </a:extLst>
          </xdr:cNvPr>
          <xdr:cNvSpPr/>
        </xdr:nvSpPr>
        <xdr:spPr>
          <a:xfrm>
            <a:off x="914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6" name="$B$1">
            <a:extLst>
              <a:ext uri="{FF2B5EF4-FFF2-40B4-BE49-F238E27FC236}">
                <a16:creationId xmlns:a16="http://schemas.microsoft.com/office/drawing/2014/main" id="{B4897FC2-FC6C-48CC-B802-1EC114CE32FB}"/>
              </a:ext>
            </a:extLst>
          </xdr:cNvPr>
          <xdr:cNvSpPr/>
        </xdr:nvSpPr>
        <xdr:spPr>
          <a:xfrm>
            <a:off x="927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7" name="$B$1">
            <a:extLst>
              <a:ext uri="{FF2B5EF4-FFF2-40B4-BE49-F238E27FC236}">
                <a16:creationId xmlns:a16="http://schemas.microsoft.com/office/drawing/2014/main" id="{83D1D3C9-DF94-47F3-B091-6C0CAF572098}"/>
              </a:ext>
            </a:extLst>
          </xdr:cNvPr>
          <xdr:cNvSpPr/>
        </xdr:nvSpPr>
        <xdr:spPr>
          <a:xfrm>
            <a:off x="939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8" name="$B$1">
            <a:extLst>
              <a:ext uri="{FF2B5EF4-FFF2-40B4-BE49-F238E27FC236}">
                <a16:creationId xmlns:a16="http://schemas.microsoft.com/office/drawing/2014/main" id="{25D0605F-ED19-465D-B671-D144F6F2722D}"/>
              </a:ext>
            </a:extLst>
          </xdr:cNvPr>
          <xdr:cNvSpPr/>
        </xdr:nvSpPr>
        <xdr:spPr>
          <a:xfrm>
            <a:off x="952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9" name="$B$1">
            <a:extLst>
              <a:ext uri="{FF2B5EF4-FFF2-40B4-BE49-F238E27FC236}">
                <a16:creationId xmlns:a16="http://schemas.microsoft.com/office/drawing/2014/main" id="{CCEEF60A-CC21-413F-BB5F-0A8BE4837E59}"/>
              </a:ext>
            </a:extLst>
          </xdr:cNvPr>
          <xdr:cNvSpPr/>
        </xdr:nvSpPr>
        <xdr:spPr>
          <a:xfrm>
            <a:off x="9779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0" name="$B$1">
            <a:extLst>
              <a:ext uri="{FF2B5EF4-FFF2-40B4-BE49-F238E27FC236}">
                <a16:creationId xmlns:a16="http://schemas.microsoft.com/office/drawing/2014/main" id="{FB90BEF7-0507-40DA-93C6-50EED94000DA}"/>
              </a:ext>
            </a:extLst>
          </xdr:cNvPr>
          <xdr:cNvSpPr/>
        </xdr:nvSpPr>
        <xdr:spPr>
          <a:xfrm>
            <a:off x="1028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1" name="$B$1">
            <a:extLst>
              <a:ext uri="{FF2B5EF4-FFF2-40B4-BE49-F238E27FC236}">
                <a16:creationId xmlns:a16="http://schemas.microsoft.com/office/drawing/2014/main" id="{095ACBBD-E5A2-40EE-A85F-58D7D24B1770}"/>
              </a:ext>
            </a:extLst>
          </xdr:cNvPr>
          <xdr:cNvSpPr/>
        </xdr:nvSpPr>
        <xdr:spPr>
          <a:xfrm>
            <a:off x="1054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2" name="$B$1">
            <a:extLst>
              <a:ext uri="{FF2B5EF4-FFF2-40B4-BE49-F238E27FC236}">
                <a16:creationId xmlns:a16="http://schemas.microsoft.com/office/drawing/2014/main" id="{19688860-A214-49F1-8152-72DE0CDAEF34}"/>
              </a:ext>
            </a:extLst>
          </xdr:cNvPr>
          <xdr:cNvSpPr/>
        </xdr:nvSpPr>
        <xdr:spPr>
          <a:xfrm>
            <a:off x="10922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3" name="$B$1">
            <a:extLst>
              <a:ext uri="{FF2B5EF4-FFF2-40B4-BE49-F238E27FC236}">
                <a16:creationId xmlns:a16="http://schemas.microsoft.com/office/drawing/2014/main" id="{D33CD060-98FA-4D1D-A5DE-15480E1EEADB}"/>
              </a:ext>
            </a:extLst>
          </xdr:cNvPr>
          <xdr:cNvSpPr/>
        </xdr:nvSpPr>
        <xdr:spPr>
          <a:xfrm>
            <a:off x="12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4" name="$B$1">
            <a:extLst>
              <a:ext uri="{FF2B5EF4-FFF2-40B4-BE49-F238E27FC236}">
                <a16:creationId xmlns:a16="http://schemas.microsoft.com/office/drawing/2014/main" id="{D700745D-12CB-4FC2-B8A2-6A77A5B84B0D}"/>
              </a:ext>
            </a:extLst>
          </xdr:cNvPr>
          <xdr:cNvSpPr/>
        </xdr:nvSpPr>
        <xdr:spPr>
          <a:xfrm>
            <a:off x="25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5" name="$B$1">
            <a:extLst>
              <a:ext uri="{FF2B5EF4-FFF2-40B4-BE49-F238E27FC236}">
                <a16:creationId xmlns:a16="http://schemas.microsoft.com/office/drawing/2014/main" id="{612A0850-CD0E-40D3-96E2-92F88AF5516D}"/>
              </a:ext>
            </a:extLst>
          </xdr:cNvPr>
          <xdr:cNvSpPr/>
        </xdr:nvSpPr>
        <xdr:spPr>
          <a:xfrm>
            <a:off x="38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6" name="$B$1">
            <a:extLst>
              <a:ext uri="{FF2B5EF4-FFF2-40B4-BE49-F238E27FC236}">
                <a16:creationId xmlns:a16="http://schemas.microsoft.com/office/drawing/2014/main" id="{60333C6F-946F-43B8-82DB-83E4D4044F34}"/>
              </a:ext>
            </a:extLst>
          </xdr:cNvPr>
          <xdr:cNvSpPr/>
        </xdr:nvSpPr>
        <xdr:spPr>
          <a:xfrm>
            <a:off x="50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7" name="$B$1">
            <a:extLst>
              <a:ext uri="{FF2B5EF4-FFF2-40B4-BE49-F238E27FC236}">
                <a16:creationId xmlns:a16="http://schemas.microsoft.com/office/drawing/2014/main" id="{C8C3DD0F-4BBD-4A34-BB9E-B1D5327C95B0}"/>
              </a:ext>
            </a:extLst>
          </xdr:cNvPr>
          <xdr:cNvSpPr/>
        </xdr:nvSpPr>
        <xdr:spPr>
          <a:xfrm>
            <a:off x="63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8" name="$B$1">
            <a:extLst>
              <a:ext uri="{FF2B5EF4-FFF2-40B4-BE49-F238E27FC236}">
                <a16:creationId xmlns:a16="http://schemas.microsoft.com/office/drawing/2014/main" id="{E4F433B2-9DFA-4E52-AAA7-9FBFA6FF0D83}"/>
              </a:ext>
            </a:extLst>
          </xdr:cNvPr>
          <xdr:cNvSpPr/>
        </xdr:nvSpPr>
        <xdr:spPr>
          <a:xfrm>
            <a:off x="76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9" name="$B$1">
            <a:extLst>
              <a:ext uri="{FF2B5EF4-FFF2-40B4-BE49-F238E27FC236}">
                <a16:creationId xmlns:a16="http://schemas.microsoft.com/office/drawing/2014/main" id="{DDD166DF-A170-4947-8D15-0232EF715A65}"/>
              </a:ext>
            </a:extLst>
          </xdr:cNvPr>
          <xdr:cNvSpPr/>
        </xdr:nvSpPr>
        <xdr:spPr>
          <a:xfrm>
            <a:off x="88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0" name="$B$1">
            <a:extLst>
              <a:ext uri="{FF2B5EF4-FFF2-40B4-BE49-F238E27FC236}">
                <a16:creationId xmlns:a16="http://schemas.microsoft.com/office/drawing/2014/main" id="{2BDCE442-E4F3-410C-88D1-A500A3B8D745}"/>
              </a:ext>
            </a:extLst>
          </xdr:cNvPr>
          <xdr:cNvSpPr/>
        </xdr:nvSpPr>
        <xdr:spPr>
          <a:xfrm>
            <a:off x="1016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1" name="$B$1">
            <a:extLst>
              <a:ext uri="{FF2B5EF4-FFF2-40B4-BE49-F238E27FC236}">
                <a16:creationId xmlns:a16="http://schemas.microsoft.com/office/drawing/2014/main" id="{BFF6F73B-9B7E-4DF8-88C2-3BA8506378D2}"/>
              </a:ext>
            </a:extLst>
          </xdr:cNvPr>
          <xdr:cNvSpPr/>
        </xdr:nvSpPr>
        <xdr:spPr>
          <a:xfrm>
            <a:off x="1270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2" name="$B$1">
            <a:extLst>
              <a:ext uri="{FF2B5EF4-FFF2-40B4-BE49-F238E27FC236}">
                <a16:creationId xmlns:a16="http://schemas.microsoft.com/office/drawing/2014/main" id="{B94472C1-A84A-49FA-B8EC-8F15C752DA22}"/>
              </a:ext>
            </a:extLst>
          </xdr:cNvPr>
          <xdr:cNvSpPr/>
        </xdr:nvSpPr>
        <xdr:spPr>
          <a:xfrm>
            <a:off x="152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3" name="$B$1">
            <a:extLst>
              <a:ext uri="{FF2B5EF4-FFF2-40B4-BE49-F238E27FC236}">
                <a16:creationId xmlns:a16="http://schemas.microsoft.com/office/drawing/2014/main" id="{E2B65387-8463-4A91-95FD-02E490C86582}"/>
              </a:ext>
            </a:extLst>
          </xdr:cNvPr>
          <xdr:cNvSpPr/>
        </xdr:nvSpPr>
        <xdr:spPr>
          <a:xfrm>
            <a:off x="177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4" name="$B$1">
            <a:extLst>
              <a:ext uri="{FF2B5EF4-FFF2-40B4-BE49-F238E27FC236}">
                <a16:creationId xmlns:a16="http://schemas.microsoft.com/office/drawing/2014/main" id="{633AAC7F-B978-4197-89E9-2833795BF9E3}"/>
              </a:ext>
            </a:extLst>
          </xdr:cNvPr>
          <xdr:cNvSpPr/>
        </xdr:nvSpPr>
        <xdr:spPr>
          <a:xfrm>
            <a:off x="2286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5" name="$B$1">
            <a:extLst>
              <a:ext uri="{FF2B5EF4-FFF2-40B4-BE49-F238E27FC236}">
                <a16:creationId xmlns:a16="http://schemas.microsoft.com/office/drawing/2014/main" id="{01D2A9A7-43D8-4B0C-9CFB-A04175D23283}"/>
              </a:ext>
            </a:extLst>
          </xdr:cNvPr>
          <xdr:cNvSpPr/>
        </xdr:nvSpPr>
        <xdr:spPr>
          <a:xfrm>
            <a:off x="2413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6" name="$B$1">
            <a:extLst>
              <a:ext uri="{FF2B5EF4-FFF2-40B4-BE49-F238E27FC236}">
                <a16:creationId xmlns:a16="http://schemas.microsoft.com/office/drawing/2014/main" id="{982AEBCD-4818-4732-8854-0DCA88DBD637}"/>
              </a:ext>
            </a:extLst>
          </xdr:cNvPr>
          <xdr:cNvSpPr/>
        </xdr:nvSpPr>
        <xdr:spPr>
          <a:xfrm>
            <a:off x="266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7" name="$B$1">
            <a:extLst>
              <a:ext uri="{FF2B5EF4-FFF2-40B4-BE49-F238E27FC236}">
                <a16:creationId xmlns:a16="http://schemas.microsoft.com/office/drawing/2014/main" id="{09604BAD-3627-49C7-B824-E1E084BDFC51}"/>
              </a:ext>
            </a:extLst>
          </xdr:cNvPr>
          <xdr:cNvSpPr/>
        </xdr:nvSpPr>
        <xdr:spPr>
          <a:xfrm>
            <a:off x="292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8" name="$B$1">
            <a:extLst>
              <a:ext uri="{FF2B5EF4-FFF2-40B4-BE49-F238E27FC236}">
                <a16:creationId xmlns:a16="http://schemas.microsoft.com/office/drawing/2014/main" id="{430F2DF3-4FAF-4784-89FE-F431DB3E391F}"/>
              </a:ext>
            </a:extLst>
          </xdr:cNvPr>
          <xdr:cNvSpPr/>
        </xdr:nvSpPr>
        <xdr:spPr>
          <a:xfrm>
            <a:off x="317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9" name="$B$1">
            <a:extLst>
              <a:ext uri="{FF2B5EF4-FFF2-40B4-BE49-F238E27FC236}">
                <a16:creationId xmlns:a16="http://schemas.microsoft.com/office/drawing/2014/main" id="{0183AF74-D63F-4BEC-81C9-D787F252156B}"/>
              </a:ext>
            </a:extLst>
          </xdr:cNvPr>
          <xdr:cNvSpPr/>
        </xdr:nvSpPr>
        <xdr:spPr>
          <a:xfrm>
            <a:off x="330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0" name="$B$1">
            <a:extLst>
              <a:ext uri="{FF2B5EF4-FFF2-40B4-BE49-F238E27FC236}">
                <a16:creationId xmlns:a16="http://schemas.microsoft.com/office/drawing/2014/main" id="{A4CF8B56-9E7C-48B8-A709-BF6560E4DF9B}"/>
              </a:ext>
            </a:extLst>
          </xdr:cNvPr>
          <xdr:cNvSpPr/>
        </xdr:nvSpPr>
        <xdr:spPr>
          <a:xfrm>
            <a:off x="342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1" name="$B$1">
            <a:extLst>
              <a:ext uri="{FF2B5EF4-FFF2-40B4-BE49-F238E27FC236}">
                <a16:creationId xmlns:a16="http://schemas.microsoft.com/office/drawing/2014/main" id="{CA53E7BE-FD8C-4739-8CDB-940F954658FF}"/>
              </a:ext>
            </a:extLst>
          </xdr:cNvPr>
          <xdr:cNvSpPr/>
        </xdr:nvSpPr>
        <xdr:spPr>
          <a:xfrm>
            <a:off x="3556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2" name="$B$1">
            <a:extLst>
              <a:ext uri="{FF2B5EF4-FFF2-40B4-BE49-F238E27FC236}">
                <a16:creationId xmlns:a16="http://schemas.microsoft.com/office/drawing/2014/main" id="{3FAC92B8-7A92-4A2B-BCB3-7F4DE0DF03B2}"/>
              </a:ext>
            </a:extLst>
          </xdr:cNvPr>
          <xdr:cNvSpPr/>
        </xdr:nvSpPr>
        <xdr:spPr>
          <a:xfrm>
            <a:off x="3683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3" name="$B$1">
            <a:extLst>
              <a:ext uri="{FF2B5EF4-FFF2-40B4-BE49-F238E27FC236}">
                <a16:creationId xmlns:a16="http://schemas.microsoft.com/office/drawing/2014/main" id="{8F1DDF23-60AC-451D-9618-DB720D0AE412}"/>
              </a:ext>
            </a:extLst>
          </xdr:cNvPr>
          <xdr:cNvSpPr/>
        </xdr:nvSpPr>
        <xdr:spPr>
          <a:xfrm>
            <a:off x="444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4" name="$B$1">
            <a:extLst>
              <a:ext uri="{FF2B5EF4-FFF2-40B4-BE49-F238E27FC236}">
                <a16:creationId xmlns:a16="http://schemas.microsoft.com/office/drawing/2014/main" id="{73CD1C7F-FEFF-49B8-B1A8-727B60A6A0D1}"/>
              </a:ext>
            </a:extLst>
          </xdr:cNvPr>
          <xdr:cNvSpPr/>
        </xdr:nvSpPr>
        <xdr:spPr>
          <a:xfrm>
            <a:off x="457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5" name="$B$1">
            <a:extLst>
              <a:ext uri="{FF2B5EF4-FFF2-40B4-BE49-F238E27FC236}">
                <a16:creationId xmlns:a16="http://schemas.microsoft.com/office/drawing/2014/main" id="{D61E0BC4-079C-46DD-8311-96C51B267E71}"/>
              </a:ext>
            </a:extLst>
          </xdr:cNvPr>
          <xdr:cNvSpPr/>
        </xdr:nvSpPr>
        <xdr:spPr>
          <a:xfrm>
            <a:off x="469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6" name="$B$1">
            <a:extLst>
              <a:ext uri="{FF2B5EF4-FFF2-40B4-BE49-F238E27FC236}">
                <a16:creationId xmlns:a16="http://schemas.microsoft.com/office/drawing/2014/main" id="{68F8A938-4357-4E44-85D4-9D8D11FAE80F}"/>
              </a:ext>
            </a:extLst>
          </xdr:cNvPr>
          <xdr:cNvSpPr/>
        </xdr:nvSpPr>
        <xdr:spPr>
          <a:xfrm>
            <a:off x="4953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7" name="$B$1">
            <a:extLst>
              <a:ext uri="{FF2B5EF4-FFF2-40B4-BE49-F238E27FC236}">
                <a16:creationId xmlns:a16="http://schemas.microsoft.com/office/drawing/2014/main" id="{75972954-FA03-40AB-964C-21B4F1E55AFE}"/>
              </a:ext>
            </a:extLst>
          </xdr:cNvPr>
          <xdr:cNvSpPr/>
        </xdr:nvSpPr>
        <xdr:spPr>
          <a:xfrm>
            <a:off x="520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8" name="$B$1">
            <a:extLst>
              <a:ext uri="{FF2B5EF4-FFF2-40B4-BE49-F238E27FC236}">
                <a16:creationId xmlns:a16="http://schemas.microsoft.com/office/drawing/2014/main" id="{4BABFAE0-E926-426D-9BFD-01596FDEC0BF}"/>
              </a:ext>
            </a:extLst>
          </xdr:cNvPr>
          <xdr:cNvSpPr/>
        </xdr:nvSpPr>
        <xdr:spPr>
          <a:xfrm>
            <a:off x="546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9" name="$B$1">
            <a:extLst>
              <a:ext uri="{FF2B5EF4-FFF2-40B4-BE49-F238E27FC236}">
                <a16:creationId xmlns:a16="http://schemas.microsoft.com/office/drawing/2014/main" id="{6EE16C03-4DA6-42C6-8C0D-C31D7F509FB0}"/>
              </a:ext>
            </a:extLst>
          </xdr:cNvPr>
          <xdr:cNvSpPr/>
        </xdr:nvSpPr>
        <xdr:spPr>
          <a:xfrm>
            <a:off x="558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0" name="$B$1">
            <a:extLst>
              <a:ext uri="{FF2B5EF4-FFF2-40B4-BE49-F238E27FC236}">
                <a16:creationId xmlns:a16="http://schemas.microsoft.com/office/drawing/2014/main" id="{A2D9CE4B-CB40-4AF7-A9DB-AD14A62190FC}"/>
              </a:ext>
            </a:extLst>
          </xdr:cNvPr>
          <xdr:cNvSpPr/>
        </xdr:nvSpPr>
        <xdr:spPr>
          <a:xfrm>
            <a:off x="571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1" name="$B$1">
            <a:extLst>
              <a:ext uri="{FF2B5EF4-FFF2-40B4-BE49-F238E27FC236}">
                <a16:creationId xmlns:a16="http://schemas.microsoft.com/office/drawing/2014/main" id="{E1D62A91-486B-429A-AC98-6ED6D381C515}"/>
              </a:ext>
            </a:extLst>
          </xdr:cNvPr>
          <xdr:cNvSpPr/>
        </xdr:nvSpPr>
        <xdr:spPr>
          <a:xfrm>
            <a:off x="584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2" name="$B$1">
            <a:extLst>
              <a:ext uri="{FF2B5EF4-FFF2-40B4-BE49-F238E27FC236}">
                <a16:creationId xmlns:a16="http://schemas.microsoft.com/office/drawing/2014/main" id="{D0F60A1D-BE1B-4CC3-A28D-7A6F9167E590}"/>
              </a:ext>
            </a:extLst>
          </xdr:cNvPr>
          <xdr:cNvSpPr/>
        </xdr:nvSpPr>
        <xdr:spPr>
          <a:xfrm>
            <a:off x="596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3" name="$B$1">
            <a:extLst>
              <a:ext uri="{FF2B5EF4-FFF2-40B4-BE49-F238E27FC236}">
                <a16:creationId xmlns:a16="http://schemas.microsoft.com/office/drawing/2014/main" id="{71311186-DFEE-4F6E-9606-89C69F1844EE}"/>
              </a:ext>
            </a:extLst>
          </xdr:cNvPr>
          <xdr:cNvSpPr/>
        </xdr:nvSpPr>
        <xdr:spPr>
          <a:xfrm>
            <a:off x="6096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4" name="$B$1">
            <a:extLst>
              <a:ext uri="{FF2B5EF4-FFF2-40B4-BE49-F238E27FC236}">
                <a16:creationId xmlns:a16="http://schemas.microsoft.com/office/drawing/2014/main" id="{AF040503-3621-418C-A98D-1A8FD9D214FA}"/>
              </a:ext>
            </a:extLst>
          </xdr:cNvPr>
          <xdr:cNvSpPr/>
        </xdr:nvSpPr>
        <xdr:spPr>
          <a:xfrm>
            <a:off x="660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5" name="$B$1">
            <a:extLst>
              <a:ext uri="{FF2B5EF4-FFF2-40B4-BE49-F238E27FC236}">
                <a16:creationId xmlns:a16="http://schemas.microsoft.com/office/drawing/2014/main" id="{4EC2A083-5650-49ED-9E52-13062A7E94B7}"/>
              </a:ext>
            </a:extLst>
          </xdr:cNvPr>
          <xdr:cNvSpPr/>
        </xdr:nvSpPr>
        <xdr:spPr>
          <a:xfrm>
            <a:off x="673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6" name="$B$1">
            <a:extLst>
              <a:ext uri="{FF2B5EF4-FFF2-40B4-BE49-F238E27FC236}">
                <a16:creationId xmlns:a16="http://schemas.microsoft.com/office/drawing/2014/main" id="{CD3CA445-FBBA-480D-B5C6-596C108B4586}"/>
              </a:ext>
            </a:extLst>
          </xdr:cNvPr>
          <xdr:cNvSpPr/>
        </xdr:nvSpPr>
        <xdr:spPr>
          <a:xfrm>
            <a:off x="685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7" name="$B$1">
            <a:extLst>
              <a:ext uri="{FF2B5EF4-FFF2-40B4-BE49-F238E27FC236}">
                <a16:creationId xmlns:a16="http://schemas.microsoft.com/office/drawing/2014/main" id="{CA32471E-0F53-4D42-B87C-AB9EC3091AC4}"/>
              </a:ext>
            </a:extLst>
          </xdr:cNvPr>
          <xdr:cNvSpPr/>
        </xdr:nvSpPr>
        <xdr:spPr>
          <a:xfrm>
            <a:off x="711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8" name="$B$1">
            <a:extLst>
              <a:ext uri="{FF2B5EF4-FFF2-40B4-BE49-F238E27FC236}">
                <a16:creationId xmlns:a16="http://schemas.microsoft.com/office/drawing/2014/main" id="{13CE0C9C-DC21-409A-AD42-A151FD9B449F}"/>
              </a:ext>
            </a:extLst>
          </xdr:cNvPr>
          <xdr:cNvSpPr/>
        </xdr:nvSpPr>
        <xdr:spPr>
          <a:xfrm>
            <a:off x="7366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9" name="$B$1">
            <a:extLst>
              <a:ext uri="{FF2B5EF4-FFF2-40B4-BE49-F238E27FC236}">
                <a16:creationId xmlns:a16="http://schemas.microsoft.com/office/drawing/2014/main" id="{A03AA1B7-74BA-4A99-B73A-373B0F0C25FA}"/>
              </a:ext>
            </a:extLst>
          </xdr:cNvPr>
          <xdr:cNvSpPr/>
        </xdr:nvSpPr>
        <xdr:spPr>
          <a:xfrm>
            <a:off x="787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0" name="$B$1">
            <a:extLst>
              <a:ext uri="{FF2B5EF4-FFF2-40B4-BE49-F238E27FC236}">
                <a16:creationId xmlns:a16="http://schemas.microsoft.com/office/drawing/2014/main" id="{83C118E9-B5AC-4158-BAE6-6B150534E4F6}"/>
              </a:ext>
            </a:extLst>
          </xdr:cNvPr>
          <xdr:cNvSpPr/>
        </xdr:nvSpPr>
        <xdr:spPr>
          <a:xfrm>
            <a:off x="800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1" name="$B$1">
            <a:extLst>
              <a:ext uri="{FF2B5EF4-FFF2-40B4-BE49-F238E27FC236}">
                <a16:creationId xmlns:a16="http://schemas.microsoft.com/office/drawing/2014/main" id="{FA0FEC9D-835E-410C-A779-D6F7AE1C13B5}"/>
              </a:ext>
            </a:extLst>
          </xdr:cNvPr>
          <xdr:cNvSpPr/>
        </xdr:nvSpPr>
        <xdr:spPr>
          <a:xfrm>
            <a:off x="812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2" name="$B$1">
            <a:extLst>
              <a:ext uri="{FF2B5EF4-FFF2-40B4-BE49-F238E27FC236}">
                <a16:creationId xmlns:a16="http://schemas.microsoft.com/office/drawing/2014/main" id="{A6193772-CA5C-41E0-A14E-CD969A9E6D84}"/>
              </a:ext>
            </a:extLst>
          </xdr:cNvPr>
          <xdr:cNvSpPr/>
        </xdr:nvSpPr>
        <xdr:spPr>
          <a:xfrm>
            <a:off x="825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3" name="$B$1">
            <a:extLst>
              <a:ext uri="{FF2B5EF4-FFF2-40B4-BE49-F238E27FC236}">
                <a16:creationId xmlns:a16="http://schemas.microsoft.com/office/drawing/2014/main" id="{036A0759-A45D-4F3F-A21C-50674E7513EE}"/>
              </a:ext>
            </a:extLst>
          </xdr:cNvPr>
          <xdr:cNvSpPr/>
        </xdr:nvSpPr>
        <xdr:spPr>
          <a:xfrm>
            <a:off x="838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4" name="$B$1">
            <a:extLst>
              <a:ext uri="{FF2B5EF4-FFF2-40B4-BE49-F238E27FC236}">
                <a16:creationId xmlns:a16="http://schemas.microsoft.com/office/drawing/2014/main" id="{4EECB2D6-5FA8-47C3-84A7-7C52DBAD91E9}"/>
              </a:ext>
            </a:extLst>
          </xdr:cNvPr>
          <xdr:cNvSpPr/>
        </xdr:nvSpPr>
        <xdr:spPr>
          <a:xfrm>
            <a:off x="850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5" name="$B$1">
            <a:extLst>
              <a:ext uri="{FF2B5EF4-FFF2-40B4-BE49-F238E27FC236}">
                <a16:creationId xmlns:a16="http://schemas.microsoft.com/office/drawing/2014/main" id="{AB2911EF-7BAE-4F3A-918F-D2F93F2218EA}"/>
              </a:ext>
            </a:extLst>
          </xdr:cNvPr>
          <xdr:cNvSpPr/>
        </xdr:nvSpPr>
        <xdr:spPr>
          <a:xfrm>
            <a:off x="8763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6" name="$B$1">
            <a:extLst>
              <a:ext uri="{FF2B5EF4-FFF2-40B4-BE49-F238E27FC236}">
                <a16:creationId xmlns:a16="http://schemas.microsoft.com/office/drawing/2014/main" id="{25787282-3387-468E-A87D-1147FEBEF5E1}"/>
              </a:ext>
            </a:extLst>
          </xdr:cNvPr>
          <xdr:cNvSpPr/>
        </xdr:nvSpPr>
        <xdr:spPr>
          <a:xfrm>
            <a:off x="8890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7" name="$B$1">
            <a:extLst>
              <a:ext uri="{FF2B5EF4-FFF2-40B4-BE49-F238E27FC236}">
                <a16:creationId xmlns:a16="http://schemas.microsoft.com/office/drawing/2014/main" id="{26120896-86BF-4E2D-8D06-FEBD424F86C8}"/>
              </a:ext>
            </a:extLst>
          </xdr:cNvPr>
          <xdr:cNvSpPr/>
        </xdr:nvSpPr>
        <xdr:spPr>
          <a:xfrm>
            <a:off x="901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8" name="$B$1">
            <a:extLst>
              <a:ext uri="{FF2B5EF4-FFF2-40B4-BE49-F238E27FC236}">
                <a16:creationId xmlns:a16="http://schemas.microsoft.com/office/drawing/2014/main" id="{1D391A4C-4BA8-4C04-8331-F92957CFBF16}"/>
              </a:ext>
            </a:extLst>
          </xdr:cNvPr>
          <xdr:cNvSpPr/>
        </xdr:nvSpPr>
        <xdr:spPr>
          <a:xfrm>
            <a:off x="914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9" name="$B$1">
            <a:extLst>
              <a:ext uri="{FF2B5EF4-FFF2-40B4-BE49-F238E27FC236}">
                <a16:creationId xmlns:a16="http://schemas.microsoft.com/office/drawing/2014/main" id="{7AEFD000-BC65-4EE4-8246-0AD46BCDFB44}"/>
              </a:ext>
            </a:extLst>
          </xdr:cNvPr>
          <xdr:cNvSpPr/>
        </xdr:nvSpPr>
        <xdr:spPr>
          <a:xfrm>
            <a:off x="927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0" name="$B$1">
            <a:extLst>
              <a:ext uri="{FF2B5EF4-FFF2-40B4-BE49-F238E27FC236}">
                <a16:creationId xmlns:a16="http://schemas.microsoft.com/office/drawing/2014/main" id="{C8D5AB2D-F8CC-419F-A21F-C6B5DA3EB125}"/>
              </a:ext>
            </a:extLst>
          </xdr:cNvPr>
          <xdr:cNvSpPr/>
        </xdr:nvSpPr>
        <xdr:spPr>
          <a:xfrm>
            <a:off x="939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1" name="$B$1">
            <a:extLst>
              <a:ext uri="{FF2B5EF4-FFF2-40B4-BE49-F238E27FC236}">
                <a16:creationId xmlns:a16="http://schemas.microsoft.com/office/drawing/2014/main" id="{8EC1F457-4650-48AB-8C46-F7E6FE25CA34}"/>
              </a:ext>
            </a:extLst>
          </xdr:cNvPr>
          <xdr:cNvSpPr/>
        </xdr:nvSpPr>
        <xdr:spPr>
          <a:xfrm>
            <a:off x="952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2" name="$B$1">
            <a:extLst>
              <a:ext uri="{FF2B5EF4-FFF2-40B4-BE49-F238E27FC236}">
                <a16:creationId xmlns:a16="http://schemas.microsoft.com/office/drawing/2014/main" id="{621A426C-0994-4CC6-BA00-4D2B45819495}"/>
              </a:ext>
            </a:extLst>
          </xdr:cNvPr>
          <xdr:cNvSpPr/>
        </xdr:nvSpPr>
        <xdr:spPr>
          <a:xfrm>
            <a:off x="977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3" name="$B$1">
            <a:extLst>
              <a:ext uri="{FF2B5EF4-FFF2-40B4-BE49-F238E27FC236}">
                <a16:creationId xmlns:a16="http://schemas.microsoft.com/office/drawing/2014/main" id="{9B1AF9A8-5B0B-4904-833D-AF07BFB459B9}"/>
              </a:ext>
            </a:extLst>
          </xdr:cNvPr>
          <xdr:cNvSpPr/>
        </xdr:nvSpPr>
        <xdr:spPr>
          <a:xfrm>
            <a:off x="1028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4" name="$B$1">
            <a:extLst>
              <a:ext uri="{FF2B5EF4-FFF2-40B4-BE49-F238E27FC236}">
                <a16:creationId xmlns:a16="http://schemas.microsoft.com/office/drawing/2014/main" id="{63F5704B-70F5-457C-AD5A-6443EC5E977F}"/>
              </a:ext>
            </a:extLst>
          </xdr:cNvPr>
          <xdr:cNvSpPr/>
        </xdr:nvSpPr>
        <xdr:spPr>
          <a:xfrm>
            <a:off x="1054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5" name="$B$1">
            <a:extLst>
              <a:ext uri="{FF2B5EF4-FFF2-40B4-BE49-F238E27FC236}">
                <a16:creationId xmlns:a16="http://schemas.microsoft.com/office/drawing/2014/main" id="{1982CF53-B02A-4F41-9777-E1A359E74B01}"/>
              </a:ext>
            </a:extLst>
          </xdr:cNvPr>
          <xdr:cNvSpPr/>
        </xdr:nvSpPr>
        <xdr:spPr>
          <a:xfrm>
            <a:off x="1092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6" name="$B$1">
            <a:extLst>
              <a:ext uri="{FF2B5EF4-FFF2-40B4-BE49-F238E27FC236}">
                <a16:creationId xmlns:a16="http://schemas.microsoft.com/office/drawing/2014/main" id="{C899DDD7-EEDD-407A-B104-250DD59F00B3}"/>
              </a:ext>
            </a:extLst>
          </xdr:cNvPr>
          <xdr:cNvSpPr/>
        </xdr:nvSpPr>
        <xdr:spPr>
          <a:xfrm>
            <a:off x="12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7" name="$B$1">
            <a:extLst>
              <a:ext uri="{FF2B5EF4-FFF2-40B4-BE49-F238E27FC236}">
                <a16:creationId xmlns:a16="http://schemas.microsoft.com/office/drawing/2014/main" id="{7291DD95-1ED6-426F-811E-369C84EFB7E9}"/>
              </a:ext>
            </a:extLst>
          </xdr:cNvPr>
          <xdr:cNvSpPr/>
        </xdr:nvSpPr>
        <xdr:spPr>
          <a:xfrm>
            <a:off x="25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8" name="$B$1">
            <a:extLst>
              <a:ext uri="{FF2B5EF4-FFF2-40B4-BE49-F238E27FC236}">
                <a16:creationId xmlns:a16="http://schemas.microsoft.com/office/drawing/2014/main" id="{D4C99976-53CF-4045-A517-1B333A5835F0}"/>
              </a:ext>
            </a:extLst>
          </xdr:cNvPr>
          <xdr:cNvSpPr/>
        </xdr:nvSpPr>
        <xdr:spPr>
          <a:xfrm>
            <a:off x="38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9" name="$B$1">
            <a:extLst>
              <a:ext uri="{FF2B5EF4-FFF2-40B4-BE49-F238E27FC236}">
                <a16:creationId xmlns:a16="http://schemas.microsoft.com/office/drawing/2014/main" id="{ABB409F8-E69A-42DF-9826-9D515688B158}"/>
              </a:ext>
            </a:extLst>
          </xdr:cNvPr>
          <xdr:cNvSpPr/>
        </xdr:nvSpPr>
        <xdr:spPr>
          <a:xfrm>
            <a:off x="50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0" name="$B$1">
            <a:extLst>
              <a:ext uri="{FF2B5EF4-FFF2-40B4-BE49-F238E27FC236}">
                <a16:creationId xmlns:a16="http://schemas.microsoft.com/office/drawing/2014/main" id="{51B33C4D-A24D-43F3-9374-60B16918DF39}"/>
              </a:ext>
            </a:extLst>
          </xdr:cNvPr>
          <xdr:cNvSpPr/>
        </xdr:nvSpPr>
        <xdr:spPr>
          <a:xfrm>
            <a:off x="63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1" name="$B$1">
            <a:extLst>
              <a:ext uri="{FF2B5EF4-FFF2-40B4-BE49-F238E27FC236}">
                <a16:creationId xmlns:a16="http://schemas.microsoft.com/office/drawing/2014/main" id="{E310A6D3-2C61-4536-B2F7-17319626A9DA}"/>
              </a:ext>
            </a:extLst>
          </xdr:cNvPr>
          <xdr:cNvSpPr/>
        </xdr:nvSpPr>
        <xdr:spPr>
          <a:xfrm>
            <a:off x="76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2" name="$B$1">
            <a:extLst>
              <a:ext uri="{FF2B5EF4-FFF2-40B4-BE49-F238E27FC236}">
                <a16:creationId xmlns:a16="http://schemas.microsoft.com/office/drawing/2014/main" id="{AEFA36A6-84E2-4081-85AB-3C43613D79FB}"/>
              </a:ext>
            </a:extLst>
          </xdr:cNvPr>
          <xdr:cNvSpPr/>
        </xdr:nvSpPr>
        <xdr:spPr>
          <a:xfrm>
            <a:off x="889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3" name="$B$1">
            <a:extLst>
              <a:ext uri="{FF2B5EF4-FFF2-40B4-BE49-F238E27FC236}">
                <a16:creationId xmlns:a16="http://schemas.microsoft.com/office/drawing/2014/main" id="{9690D78F-D1FC-41E6-9EB5-C3C82FD2CE13}"/>
              </a:ext>
            </a:extLst>
          </xdr:cNvPr>
          <xdr:cNvSpPr/>
        </xdr:nvSpPr>
        <xdr:spPr>
          <a:xfrm>
            <a:off x="101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4" name="$B$1">
            <a:extLst>
              <a:ext uri="{FF2B5EF4-FFF2-40B4-BE49-F238E27FC236}">
                <a16:creationId xmlns:a16="http://schemas.microsoft.com/office/drawing/2014/main" id="{4DE67336-BC5E-46A8-A64E-B5132BF253BF}"/>
              </a:ext>
            </a:extLst>
          </xdr:cNvPr>
          <xdr:cNvSpPr/>
        </xdr:nvSpPr>
        <xdr:spPr>
          <a:xfrm>
            <a:off x="127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5" name="$B$1">
            <a:extLst>
              <a:ext uri="{FF2B5EF4-FFF2-40B4-BE49-F238E27FC236}">
                <a16:creationId xmlns:a16="http://schemas.microsoft.com/office/drawing/2014/main" id="{3285ED03-F921-49CD-8633-4F8A10868331}"/>
              </a:ext>
            </a:extLst>
          </xdr:cNvPr>
          <xdr:cNvSpPr/>
        </xdr:nvSpPr>
        <xdr:spPr>
          <a:xfrm>
            <a:off x="152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6" name="$B$1">
            <a:extLst>
              <a:ext uri="{FF2B5EF4-FFF2-40B4-BE49-F238E27FC236}">
                <a16:creationId xmlns:a16="http://schemas.microsoft.com/office/drawing/2014/main" id="{5335D773-97CE-4602-94A1-A3A238EA8CC5}"/>
              </a:ext>
            </a:extLst>
          </xdr:cNvPr>
          <xdr:cNvSpPr/>
        </xdr:nvSpPr>
        <xdr:spPr>
          <a:xfrm>
            <a:off x="177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7" name="$B$1">
            <a:extLst>
              <a:ext uri="{FF2B5EF4-FFF2-40B4-BE49-F238E27FC236}">
                <a16:creationId xmlns:a16="http://schemas.microsoft.com/office/drawing/2014/main" id="{6041E6D3-CB52-4C92-B87E-AD5DA54E9B1D}"/>
              </a:ext>
            </a:extLst>
          </xdr:cNvPr>
          <xdr:cNvSpPr/>
        </xdr:nvSpPr>
        <xdr:spPr>
          <a:xfrm>
            <a:off x="228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8" name="$B$1">
            <a:extLst>
              <a:ext uri="{FF2B5EF4-FFF2-40B4-BE49-F238E27FC236}">
                <a16:creationId xmlns:a16="http://schemas.microsoft.com/office/drawing/2014/main" id="{5235E14C-7F83-4B06-A133-B1FD724723BA}"/>
              </a:ext>
            </a:extLst>
          </xdr:cNvPr>
          <xdr:cNvSpPr/>
        </xdr:nvSpPr>
        <xdr:spPr>
          <a:xfrm>
            <a:off x="2413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9" name="$B$1">
            <a:extLst>
              <a:ext uri="{FF2B5EF4-FFF2-40B4-BE49-F238E27FC236}">
                <a16:creationId xmlns:a16="http://schemas.microsoft.com/office/drawing/2014/main" id="{D845C3B1-8349-4961-ABB9-66692DF9FD16}"/>
              </a:ext>
            </a:extLst>
          </xdr:cNvPr>
          <xdr:cNvSpPr/>
        </xdr:nvSpPr>
        <xdr:spPr>
          <a:xfrm>
            <a:off x="254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0" name="$B$1">
            <a:extLst>
              <a:ext uri="{FF2B5EF4-FFF2-40B4-BE49-F238E27FC236}">
                <a16:creationId xmlns:a16="http://schemas.microsoft.com/office/drawing/2014/main" id="{E1684A11-B672-4104-AC9D-DA31E6725457}"/>
              </a:ext>
            </a:extLst>
          </xdr:cNvPr>
          <xdr:cNvSpPr/>
        </xdr:nvSpPr>
        <xdr:spPr>
          <a:xfrm>
            <a:off x="266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1" name="$B$1">
            <a:extLst>
              <a:ext uri="{FF2B5EF4-FFF2-40B4-BE49-F238E27FC236}">
                <a16:creationId xmlns:a16="http://schemas.microsoft.com/office/drawing/2014/main" id="{F8925A49-9E6B-4CF7-9060-5DD11104913C}"/>
              </a:ext>
            </a:extLst>
          </xdr:cNvPr>
          <xdr:cNvSpPr/>
        </xdr:nvSpPr>
        <xdr:spPr>
          <a:xfrm>
            <a:off x="279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2" name="$B$1">
            <a:extLst>
              <a:ext uri="{FF2B5EF4-FFF2-40B4-BE49-F238E27FC236}">
                <a16:creationId xmlns:a16="http://schemas.microsoft.com/office/drawing/2014/main" id="{A911DBE8-E627-4636-A232-C3D8260490B4}"/>
              </a:ext>
            </a:extLst>
          </xdr:cNvPr>
          <xdr:cNvSpPr/>
        </xdr:nvSpPr>
        <xdr:spPr>
          <a:xfrm>
            <a:off x="304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3" name="$B$1">
            <a:extLst>
              <a:ext uri="{FF2B5EF4-FFF2-40B4-BE49-F238E27FC236}">
                <a16:creationId xmlns:a16="http://schemas.microsoft.com/office/drawing/2014/main" id="{2E55E876-249F-4DA2-8F6A-3A5474492505}"/>
              </a:ext>
            </a:extLst>
          </xdr:cNvPr>
          <xdr:cNvSpPr/>
        </xdr:nvSpPr>
        <xdr:spPr>
          <a:xfrm>
            <a:off x="330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4" name="$B$1">
            <a:extLst>
              <a:ext uri="{FF2B5EF4-FFF2-40B4-BE49-F238E27FC236}">
                <a16:creationId xmlns:a16="http://schemas.microsoft.com/office/drawing/2014/main" id="{87C40650-5AED-48F1-BBC6-EC5270CBDB62}"/>
              </a:ext>
            </a:extLst>
          </xdr:cNvPr>
          <xdr:cNvSpPr/>
        </xdr:nvSpPr>
        <xdr:spPr>
          <a:xfrm>
            <a:off x="3429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5" name="$B$1">
            <a:extLst>
              <a:ext uri="{FF2B5EF4-FFF2-40B4-BE49-F238E27FC236}">
                <a16:creationId xmlns:a16="http://schemas.microsoft.com/office/drawing/2014/main" id="{4A2F3755-2DD0-408F-9056-9207D5C75B32}"/>
              </a:ext>
            </a:extLst>
          </xdr:cNvPr>
          <xdr:cNvSpPr/>
        </xdr:nvSpPr>
        <xdr:spPr>
          <a:xfrm>
            <a:off x="355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6" name="$B$1">
            <a:extLst>
              <a:ext uri="{FF2B5EF4-FFF2-40B4-BE49-F238E27FC236}">
                <a16:creationId xmlns:a16="http://schemas.microsoft.com/office/drawing/2014/main" id="{94DEB794-9008-4021-A8B9-6E1EDD98E2FB}"/>
              </a:ext>
            </a:extLst>
          </xdr:cNvPr>
          <xdr:cNvSpPr/>
        </xdr:nvSpPr>
        <xdr:spPr>
          <a:xfrm>
            <a:off x="3683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7" name="$B$1">
            <a:extLst>
              <a:ext uri="{FF2B5EF4-FFF2-40B4-BE49-F238E27FC236}">
                <a16:creationId xmlns:a16="http://schemas.microsoft.com/office/drawing/2014/main" id="{75AC7836-E736-4C6A-B477-BC3F7F34108D}"/>
              </a:ext>
            </a:extLst>
          </xdr:cNvPr>
          <xdr:cNvSpPr/>
        </xdr:nvSpPr>
        <xdr:spPr>
          <a:xfrm>
            <a:off x="381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8" name="$B$1">
            <a:extLst>
              <a:ext uri="{FF2B5EF4-FFF2-40B4-BE49-F238E27FC236}">
                <a16:creationId xmlns:a16="http://schemas.microsoft.com/office/drawing/2014/main" id="{FA0C769C-0A01-401C-AED4-CD7138B75F03}"/>
              </a:ext>
            </a:extLst>
          </xdr:cNvPr>
          <xdr:cNvSpPr/>
        </xdr:nvSpPr>
        <xdr:spPr>
          <a:xfrm>
            <a:off x="393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9" name="$B$1">
            <a:extLst>
              <a:ext uri="{FF2B5EF4-FFF2-40B4-BE49-F238E27FC236}">
                <a16:creationId xmlns:a16="http://schemas.microsoft.com/office/drawing/2014/main" id="{4688EE97-FB2D-4A32-B3BC-9657B8653840}"/>
              </a:ext>
            </a:extLst>
          </xdr:cNvPr>
          <xdr:cNvSpPr/>
        </xdr:nvSpPr>
        <xdr:spPr>
          <a:xfrm>
            <a:off x="419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0" name="$B$1">
            <a:extLst>
              <a:ext uri="{FF2B5EF4-FFF2-40B4-BE49-F238E27FC236}">
                <a16:creationId xmlns:a16="http://schemas.microsoft.com/office/drawing/2014/main" id="{035E2640-C7B6-40BD-B39E-9D8AF5CEB5D2}"/>
              </a:ext>
            </a:extLst>
          </xdr:cNvPr>
          <xdr:cNvSpPr/>
        </xdr:nvSpPr>
        <xdr:spPr>
          <a:xfrm>
            <a:off x="444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1" name="$B$1">
            <a:extLst>
              <a:ext uri="{FF2B5EF4-FFF2-40B4-BE49-F238E27FC236}">
                <a16:creationId xmlns:a16="http://schemas.microsoft.com/office/drawing/2014/main" id="{4A987123-DF1D-45C9-B248-180F1EED986F}"/>
              </a:ext>
            </a:extLst>
          </xdr:cNvPr>
          <xdr:cNvSpPr/>
        </xdr:nvSpPr>
        <xdr:spPr>
          <a:xfrm>
            <a:off x="4699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2" name="$B$1">
            <a:extLst>
              <a:ext uri="{FF2B5EF4-FFF2-40B4-BE49-F238E27FC236}">
                <a16:creationId xmlns:a16="http://schemas.microsoft.com/office/drawing/2014/main" id="{A8A3DEE6-DF2A-4CE4-ABE3-AAE43720A37F}"/>
              </a:ext>
            </a:extLst>
          </xdr:cNvPr>
          <xdr:cNvSpPr/>
        </xdr:nvSpPr>
        <xdr:spPr>
          <a:xfrm>
            <a:off x="482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3" name="$B$1">
            <a:extLst>
              <a:ext uri="{FF2B5EF4-FFF2-40B4-BE49-F238E27FC236}">
                <a16:creationId xmlns:a16="http://schemas.microsoft.com/office/drawing/2014/main" id="{81BF0E41-1F66-4F66-8F48-D96413672FF1}"/>
              </a:ext>
            </a:extLst>
          </xdr:cNvPr>
          <xdr:cNvSpPr/>
        </xdr:nvSpPr>
        <xdr:spPr>
          <a:xfrm>
            <a:off x="4953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4" name="$B$1">
            <a:extLst>
              <a:ext uri="{FF2B5EF4-FFF2-40B4-BE49-F238E27FC236}">
                <a16:creationId xmlns:a16="http://schemas.microsoft.com/office/drawing/2014/main" id="{D1ACECA4-103A-494B-AE3A-2532C68A8D9F}"/>
              </a:ext>
            </a:extLst>
          </xdr:cNvPr>
          <xdr:cNvSpPr/>
        </xdr:nvSpPr>
        <xdr:spPr>
          <a:xfrm>
            <a:off x="520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5" name="$B$1">
            <a:extLst>
              <a:ext uri="{FF2B5EF4-FFF2-40B4-BE49-F238E27FC236}">
                <a16:creationId xmlns:a16="http://schemas.microsoft.com/office/drawing/2014/main" id="{E9EB14C3-B82B-45B0-9320-F22F98EBE8C1}"/>
              </a:ext>
            </a:extLst>
          </xdr:cNvPr>
          <xdr:cNvSpPr/>
        </xdr:nvSpPr>
        <xdr:spPr>
          <a:xfrm>
            <a:off x="533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6" name="$B$1">
            <a:extLst>
              <a:ext uri="{FF2B5EF4-FFF2-40B4-BE49-F238E27FC236}">
                <a16:creationId xmlns:a16="http://schemas.microsoft.com/office/drawing/2014/main" id="{6C03B592-B514-4FE0-B238-F6F6C24EE8FE}"/>
              </a:ext>
            </a:extLst>
          </xdr:cNvPr>
          <xdr:cNvSpPr/>
        </xdr:nvSpPr>
        <xdr:spPr>
          <a:xfrm>
            <a:off x="546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7" name="$B$1">
            <a:extLst>
              <a:ext uri="{FF2B5EF4-FFF2-40B4-BE49-F238E27FC236}">
                <a16:creationId xmlns:a16="http://schemas.microsoft.com/office/drawing/2014/main" id="{94A89E69-E498-40BF-BBF9-742E3DD18B90}"/>
              </a:ext>
            </a:extLst>
          </xdr:cNvPr>
          <xdr:cNvSpPr/>
        </xdr:nvSpPr>
        <xdr:spPr>
          <a:xfrm>
            <a:off x="558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8" name="$B$1">
            <a:extLst>
              <a:ext uri="{FF2B5EF4-FFF2-40B4-BE49-F238E27FC236}">
                <a16:creationId xmlns:a16="http://schemas.microsoft.com/office/drawing/2014/main" id="{0E0DFB4C-BDC6-4F1E-941B-C846D677EDA7}"/>
              </a:ext>
            </a:extLst>
          </xdr:cNvPr>
          <xdr:cNvSpPr/>
        </xdr:nvSpPr>
        <xdr:spPr>
          <a:xfrm>
            <a:off x="584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9" name="$B$1">
            <a:extLst>
              <a:ext uri="{FF2B5EF4-FFF2-40B4-BE49-F238E27FC236}">
                <a16:creationId xmlns:a16="http://schemas.microsoft.com/office/drawing/2014/main" id="{106C0163-DEC1-4619-B589-EE2968F04A24}"/>
              </a:ext>
            </a:extLst>
          </xdr:cNvPr>
          <xdr:cNvSpPr/>
        </xdr:nvSpPr>
        <xdr:spPr>
          <a:xfrm>
            <a:off x="5969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0" name="$B$1">
            <a:extLst>
              <a:ext uri="{FF2B5EF4-FFF2-40B4-BE49-F238E27FC236}">
                <a16:creationId xmlns:a16="http://schemas.microsoft.com/office/drawing/2014/main" id="{3FA91FAF-4ABB-4850-9EF0-08338B1B20FE}"/>
              </a:ext>
            </a:extLst>
          </xdr:cNvPr>
          <xdr:cNvSpPr/>
        </xdr:nvSpPr>
        <xdr:spPr>
          <a:xfrm>
            <a:off x="660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1" name="$B$1">
            <a:extLst>
              <a:ext uri="{FF2B5EF4-FFF2-40B4-BE49-F238E27FC236}">
                <a16:creationId xmlns:a16="http://schemas.microsoft.com/office/drawing/2014/main" id="{CB308367-7B6A-4919-920F-ED1D90270A40}"/>
              </a:ext>
            </a:extLst>
          </xdr:cNvPr>
          <xdr:cNvSpPr/>
        </xdr:nvSpPr>
        <xdr:spPr>
          <a:xfrm>
            <a:off x="673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2" name="$B$1">
            <a:extLst>
              <a:ext uri="{FF2B5EF4-FFF2-40B4-BE49-F238E27FC236}">
                <a16:creationId xmlns:a16="http://schemas.microsoft.com/office/drawing/2014/main" id="{85E6415C-E27C-48F4-A1C8-7937C8F84A85}"/>
              </a:ext>
            </a:extLst>
          </xdr:cNvPr>
          <xdr:cNvSpPr/>
        </xdr:nvSpPr>
        <xdr:spPr>
          <a:xfrm>
            <a:off x="698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3" name="$B$1">
            <a:extLst>
              <a:ext uri="{FF2B5EF4-FFF2-40B4-BE49-F238E27FC236}">
                <a16:creationId xmlns:a16="http://schemas.microsoft.com/office/drawing/2014/main" id="{10090566-7E47-4E6F-873C-9022ED83F335}"/>
              </a:ext>
            </a:extLst>
          </xdr:cNvPr>
          <xdr:cNvSpPr/>
        </xdr:nvSpPr>
        <xdr:spPr>
          <a:xfrm>
            <a:off x="7239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4" name="$B$1">
            <a:extLst>
              <a:ext uri="{FF2B5EF4-FFF2-40B4-BE49-F238E27FC236}">
                <a16:creationId xmlns:a16="http://schemas.microsoft.com/office/drawing/2014/main" id="{EDFB8BB3-BE1D-4559-A02D-978425A7EA00}"/>
              </a:ext>
            </a:extLst>
          </xdr:cNvPr>
          <xdr:cNvSpPr/>
        </xdr:nvSpPr>
        <xdr:spPr>
          <a:xfrm>
            <a:off x="736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5" name="$B$1">
            <a:extLst>
              <a:ext uri="{FF2B5EF4-FFF2-40B4-BE49-F238E27FC236}">
                <a16:creationId xmlns:a16="http://schemas.microsoft.com/office/drawing/2014/main" id="{00EB2722-D73B-4927-95B6-D2B499BADB80}"/>
              </a:ext>
            </a:extLst>
          </xdr:cNvPr>
          <xdr:cNvSpPr/>
        </xdr:nvSpPr>
        <xdr:spPr>
          <a:xfrm>
            <a:off x="7493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6" name="$B$1">
            <a:extLst>
              <a:ext uri="{FF2B5EF4-FFF2-40B4-BE49-F238E27FC236}">
                <a16:creationId xmlns:a16="http://schemas.microsoft.com/office/drawing/2014/main" id="{6231E3DE-7EDC-4DE5-9D24-461D426E9111}"/>
              </a:ext>
            </a:extLst>
          </xdr:cNvPr>
          <xdr:cNvSpPr/>
        </xdr:nvSpPr>
        <xdr:spPr>
          <a:xfrm>
            <a:off x="762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7" name="$B$1">
            <a:extLst>
              <a:ext uri="{FF2B5EF4-FFF2-40B4-BE49-F238E27FC236}">
                <a16:creationId xmlns:a16="http://schemas.microsoft.com/office/drawing/2014/main" id="{6AD8C784-411B-4D5C-AAA3-BF284ADDCF0C}"/>
              </a:ext>
            </a:extLst>
          </xdr:cNvPr>
          <xdr:cNvSpPr/>
        </xdr:nvSpPr>
        <xdr:spPr>
          <a:xfrm>
            <a:off x="787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8" name="$B$1">
            <a:extLst>
              <a:ext uri="{FF2B5EF4-FFF2-40B4-BE49-F238E27FC236}">
                <a16:creationId xmlns:a16="http://schemas.microsoft.com/office/drawing/2014/main" id="{788A2A5E-BD9F-4A16-BCBA-391DACEBE907}"/>
              </a:ext>
            </a:extLst>
          </xdr:cNvPr>
          <xdr:cNvSpPr/>
        </xdr:nvSpPr>
        <xdr:spPr>
          <a:xfrm>
            <a:off x="800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9" name="$B$1">
            <a:extLst>
              <a:ext uri="{FF2B5EF4-FFF2-40B4-BE49-F238E27FC236}">
                <a16:creationId xmlns:a16="http://schemas.microsoft.com/office/drawing/2014/main" id="{0EA982AB-55C0-411F-A979-5E4C78722082}"/>
              </a:ext>
            </a:extLst>
          </xdr:cNvPr>
          <xdr:cNvSpPr/>
        </xdr:nvSpPr>
        <xdr:spPr>
          <a:xfrm>
            <a:off x="812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0" name="$B$1">
            <a:extLst>
              <a:ext uri="{FF2B5EF4-FFF2-40B4-BE49-F238E27FC236}">
                <a16:creationId xmlns:a16="http://schemas.microsoft.com/office/drawing/2014/main" id="{CFF0F9BC-1CB3-495B-A9AC-53096EAD20BC}"/>
              </a:ext>
            </a:extLst>
          </xdr:cNvPr>
          <xdr:cNvSpPr/>
        </xdr:nvSpPr>
        <xdr:spPr>
          <a:xfrm>
            <a:off x="825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1" name="$B$1">
            <a:extLst>
              <a:ext uri="{FF2B5EF4-FFF2-40B4-BE49-F238E27FC236}">
                <a16:creationId xmlns:a16="http://schemas.microsoft.com/office/drawing/2014/main" id="{E19DAE5C-0FE2-44EF-8DBD-F175CEAE919F}"/>
              </a:ext>
            </a:extLst>
          </xdr:cNvPr>
          <xdr:cNvSpPr/>
        </xdr:nvSpPr>
        <xdr:spPr>
          <a:xfrm>
            <a:off x="838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2" name="$B$1">
            <a:extLst>
              <a:ext uri="{FF2B5EF4-FFF2-40B4-BE49-F238E27FC236}">
                <a16:creationId xmlns:a16="http://schemas.microsoft.com/office/drawing/2014/main" id="{A9B82B53-2472-412D-B3CF-41B71789D77F}"/>
              </a:ext>
            </a:extLst>
          </xdr:cNvPr>
          <xdr:cNvSpPr/>
        </xdr:nvSpPr>
        <xdr:spPr>
          <a:xfrm>
            <a:off x="8763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3" name="$B$1">
            <a:extLst>
              <a:ext uri="{FF2B5EF4-FFF2-40B4-BE49-F238E27FC236}">
                <a16:creationId xmlns:a16="http://schemas.microsoft.com/office/drawing/2014/main" id="{C9FD91DD-1C2C-42A2-93FB-4DA54E6F1B21}"/>
              </a:ext>
            </a:extLst>
          </xdr:cNvPr>
          <xdr:cNvSpPr/>
        </xdr:nvSpPr>
        <xdr:spPr>
          <a:xfrm>
            <a:off x="889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4" name="$B$1">
            <a:extLst>
              <a:ext uri="{FF2B5EF4-FFF2-40B4-BE49-F238E27FC236}">
                <a16:creationId xmlns:a16="http://schemas.microsoft.com/office/drawing/2014/main" id="{CE4E1F8F-83B5-42AD-A814-8473C78E24F3}"/>
              </a:ext>
            </a:extLst>
          </xdr:cNvPr>
          <xdr:cNvSpPr/>
        </xdr:nvSpPr>
        <xdr:spPr>
          <a:xfrm>
            <a:off x="901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5" name="$B$1">
            <a:extLst>
              <a:ext uri="{FF2B5EF4-FFF2-40B4-BE49-F238E27FC236}">
                <a16:creationId xmlns:a16="http://schemas.microsoft.com/office/drawing/2014/main" id="{5A27DF1C-F8CE-4EE8-A7F5-BF7BC26D2E7D}"/>
              </a:ext>
            </a:extLst>
          </xdr:cNvPr>
          <xdr:cNvSpPr/>
        </xdr:nvSpPr>
        <xdr:spPr>
          <a:xfrm>
            <a:off x="914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6" name="$B$1">
            <a:extLst>
              <a:ext uri="{FF2B5EF4-FFF2-40B4-BE49-F238E27FC236}">
                <a16:creationId xmlns:a16="http://schemas.microsoft.com/office/drawing/2014/main" id="{C8FD365B-B6EC-4F99-811B-7BC4EFA01664}"/>
              </a:ext>
            </a:extLst>
          </xdr:cNvPr>
          <xdr:cNvSpPr/>
        </xdr:nvSpPr>
        <xdr:spPr>
          <a:xfrm>
            <a:off x="927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7" name="$B$1">
            <a:extLst>
              <a:ext uri="{FF2B5EF4-FFF2-40B4-BE49-F238E27FC236}">
                <a16:creationId xmlns:a16="http://schemas.microsoft.com/office/drawing/2014/main" id="{B3B66F5A-CAFF-4452-90E0-BBA54F450D5E}"/>
              </a:ext>
            </a:extLst>
          </xdr:cNvPr>
          <xdr:cNvSpPr/>
        </xdr:nvSpPr>
        <xdr:spPr>
          <a:xfrm>
            <a:off x="939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8" name="$B$1">
            <a:extLst>
              <a:ext uri="{FF2B5EF4-FFF2-40B4-BE49-F238E27FC236}">
                <a16:creationId xmlns:a16="http://schemas.microsoft.com/office/drawing/2014/main" id="{5ADF88CC-BC8B-4206-933C-0EC85EA33888}"/>
              </a:ext>
            </a:extLst>
          </xdr:cNvPr>
          <xdr:cNvSpPr/>
        </xdr:nvSpPr>
        <xdr:spPr>
          <a:xfrm>
            <a:off x="952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9" name="$B$1">
            <a:extLst>
              <a:ext uri="{FF2B5EF4-FFF2-40B4-BE49-F238E27FC236}">
                <a16:creationId xmlns:a16="http://schemas.microsoft.com/office/drawing/2014/main" id="{90C4DA43-AFA7-4132-88D1-3616A5BF5879}"/>
              </a:ext>
            </a:extLst>
          </xdr:cNvPr>
          <xdr:cNvSpPr/>
        </xdr:nvSpPr>
        <xdr:spPr>
          <a:xfrm>
            <a:off x="9779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0" name="$B$1">
            <a:extLst>
              <a:ext uri="{FF2B5EF4-FFF2-40B4-BE49-F238E27FC236}">
                <a16:creationId xmlns:a16="http://schemas.microsoft.com/office/drawing/2014/main" id="{2DCEF7B2-3DF3-439B-B5C9-C73E624F17C8}"/>
              </a:ext>
            </a:extLst>
          </xdr:cNvPr>
          <xdr:cNvSpPr/>
        </xdr:nvSpPr>
        <xdr:spPr>
          <a:xfrm>
            <a:off x="1028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1" name="$B$1">
            <a:extLst>
              <a:ext uri="{FF2B5EF4-FFF2-40B4-BE49-F238E27FC236}">
                <a16:creationId xmlns:a16="http://schemas.microsoft.com/office/drawing/2014/main" id="{3027C436-970B-4B77-8E68-02D0FF082948}"/>
              </a:ext>
            </a:extLst>
          </xdr:cNvPr>
          <xdr:cNvSpPr/>
        </xdr:nvSpPr>
        <xdr:spPr>
          <a:xfrm>
            <a:off x="1054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2" name="$B$1">
            <a:extLst>
              <a:ext uri="{FF2B5EF4-FFF2-40B4-BE49-F238E27FC236}">
                <a16:creationId xmlns:a16="http://schemas.microsoft.com/office/drawing/2014/main" id="{B91895DF-C51A-4463-8F13-02FD632DB88F}"/>
              </a:ext>
            </a:extLst>
          </xdr:cNvPr>
          <xdr:cNvSpPr/>
        </xdr:nvSpPr>
        <xdr:spPr>
          <a:xfrm>
            <a:off x="1092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3" name="$B$1">
            <a:extLst>
              <a:ext uri="{FF2B5EF4-FFF2-40B4-BE49-F238E27FC236}">
                <a16:creationId xmlns:a16="http://schemas.microsoft.com/office/drawing/2014/main" id="{50CB7D27-1636-4B8A-84FE-0E456177EF29}"/>
              </a:ext>
            </a:extLst>
          </xdr:cNvPr>
          <xdr:cNvSpPr/>
        </xdr:nvSpPr>
        <xdr:spPr>
          <a:xfrm>
            <a:off x="12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4" name="$B$1">
            <a:extLst>
              <a:ext uri="{FF2B5EF4-FFF2-40B4-BE49-F238E27FC236}">
                <a16:creationId xmlns:a16="http://schemas.microsoft.com/office/drawing/2014/main" id="{A8C09C22-3E08-4231-A5DF-4FDF8E482332}"/>
              </a:ext>
            </a:extLst>
          </xdr:cNvPr>
          <xdr:cNvSpPr/>
        </xdr:nvSpPr>
        <xdr:spPr>
          <a:xfrm>
            <a:off x="25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5" name="$B$1">
            <a:extLst>
              <a:ext uri="{FF2B5EF4-FFF2-40B4-BE49-F238E27FC236}">
                <a16:creationId xmlns:a16="http://schemas.microsoft.com/office/drawing/2014/main" id="{F42888D3-CF14-4891-A110-455C850EF172}"/>
              </a:ext>
            </a:extLst>
          </xdr:cNvPr>
          <xdr:cNvSpPr/>
        </xdr:nvSpPr>
        <xdr:spPr>
          <a:xfrm>
            <a:off x="38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6" name="$B$1">
            <a:extLst>
              <a:ext uri="{FF2B5EF4-FFF2-40B4-BE49-F238E27FC236}">
                <a16:creationId xmlns:a16="http://schemas.microsoft.com/office/drawing/2014/main" id="{6AC3D0A9-906D-42C4-9E3A-2DBF8BA2DE4F}"/>
              </a:ext>
            </a:extLst>
          </xdr:cNvPr>
          <xdr:cNvSpPr/>
        </xdr:nvSpPr>
        <xdr:spPr>
          <a:xfrm>
            <a:off x="50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7" name="$B$1">
            <a:extLst>
              <a:ext uri="{FF2B5EF4-FFF2-40B4-BE49-F238E27FC236}">
                <a16:creationId xmlns:a16="http://schemas.microsoft.com/office/drawing/2014/main" id="{AF4FA1E2-6451-4D51-9B7A-B71714BE8E6E}"/>
              </a:ext>
            </a:extLst>
          </xdr:cNvPr>
          <xdr:cNvSpPr/>
        </xdr:nvSpPr>
        <xdr:spPr>
          <a:xfrm>
            <a:off x="63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8" name="$B$1">
            <a:extLst>
              <a:ext uri="{FF2B5EF4-FFF2-40B4-BE49-F238E27FC236}">
                <a16:creationId xmlns:a16="http://schemas.microsoft.com/office/drawing/2014/main" id="{AE49B6D7-BB02-48F1-9C70-1461E7538512}"/>
              </a:ext>
            </a:extLst>
          </xdr:cNvPr>
          <xdr:cNvSpPr/>
        </xdr:nvSpPr>
        <xdr:spPr>
          <a:xfrm>
            <a:off x="762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9" name="$B$1">
            <a:extLst>
              <a:ext uri="{FF2B5EF4-FFF2-40B4-BE49-F238E27FC236}">
                <a16:creationId xmlns:a16="http://schemas.microsoft.com/office/drawing/2014/main" id="{358268D2-2E2E-4E8C-9C55-D81778945E0D}"/>
              </a:ext>
            </a:extLst>
          </xdr:cNvPr>
          <xdr:cNvSpPr/>
        </xdr:nvSpPr>
        <xdr:spPr>
          <a:xfrm>
            <a:off x="889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0" name="$B$1">
            <a:extLst>
              <a:ext uri="{FF2B5EF4-FFF2-40B4-BE49-F238E27FC236}">
                <a16:creationId xmlns:a16="http://schemas.microsoft.com/office/drawing/2014/main" id="{E97FD184-AE60-4A7A-B4F4-D79AC30B63E8}"/>
              </a:ext>
            </a:extLst>
          </xdr:cNvPr>
          <xdr:cNvSpPr/>
        </xdr:nvSpPr>
        <xdr:spPr>
          <a:xfrm>
            <a:off x="1016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1" name="$B$1">
            <a:extLst>
              <a:ext uri="{FF2B5EF4-FFF2-40B4-BE49-F238E27FC236}">
                <a16:creationId xmlns:a16="http://schemas.microsoft.com/office/drawing/2014/main" id="{55349AF7-B718-4233-89DF-EDF52D6C23D6}"/>
              </a:ext>
            </a:extLst>
          </xdr:cNvPr>
          <xdr:cNvSpPr/>
        </xdr:nvSpPr>
        <xdr:spPr>
          <a:xfrm>
            <a:off x="1270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2" name="$B$1">
            <a:extLst>
              <a:ext uri="{FF2B5EF4-FFF2-40B4-BE49-F238E27FC236}">
                <a16:creationId xmlns:a16="http://schemas.microsoft.com/office/drawing/2014/main" id="{0819BE5A-175E-4AA2-8680-8C56C2821704}"/>
              </a:ext>
            </a:extLst>
          </xdr:cNvPr>
          <xdr:cNvSpPr/>
        </xdr:nvSpPr>
        <xdr:spPr>
          <a:xfrm>
            <a:off x="152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3" name="$B$1">
            <a:extLst>
              <a:ext uri="{FF2B5EF4-FFF2-40B4-BE49-F238E27FC236}">
                <a16:creationId xmlns:a16="http://schemas.microsoft.com/office/drawing/2014/main" id="{AB3CCFB5-D0D9-4B4A-BA74-F48A8A0876D5}"/>
              </a:ext>
            </a:extLst>
          </xdr:cNvPr>
          <xdr:cNvSpPr/>
        </xdr:nvSpPr>
        <xdr:spPr>
          <a:xfrm>
            <a:off x="177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4" name="$B$1">
            <a:extLst>
              <a:ext uri="{FF2B5EF4-FFF2-40B4-BE49-F238E27FC236}">
                <a16:creationId xmlns:a16="http://schemas.microsoft.com/office/drawing/2014/main" id="{B693677D-1D26-4680-8FC6-8888D35D0646}"/>
              </a:ext>
            </a:extLst>
          </xdr:cNvPr>
          <xdr:cNvSpPr/>
        </xdr:nvSpPr>
        <xdr:spPr>
          <a:xfrm>
            <a:off x="2286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5" name="$B$1">
            <a:extLst>
              <a:ext uri="{FF2B5EF4-FFF2-40B4-BE49-F238E27FC236}">
                <a16:creationId xmlns:a16="http://schemas.microsoft.com/office/drawing/2014/main" id="{5F1CD0DE-4919-4FDE-A8FD-9E901BF46846}"/>
              </a:ext>
            </a:extLst>
          </xdr:cNvPr>
          <xdr:cNvSpPr/>
        </xdr:nvSpPr>
        <xdr:spPr>
          <a:xfrm>
            <a:off x="2413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6" name="$B$1">
            <a:extLst>
              <a:ext uri="{FF2B5EF4-FFF2-40B4-BE49-F238E27FC236}">
                <a16:creationId xmlns:a16="http://schemas.microsoft.com/office/drawing/2014/main" id="{B5E7379E-E73D-4079-A0AD-1C8CBF5968D6}"/>
              </a:ext>
            </a:extLst>
          </xdr:cNvPr>
          <xdr:cNvSpPr/>
        </xdr:nvSpPr>
        <xdr:spPr>
          <a:xfrm>
            <a:off x="2540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7" name="$B$1">
            <a:extLst>
              <a:ext uri="{FF2B5EF4-FFF2-40B4-BE49-F238E27FC236}">
                <a16:creationId xmlns:a16="http://schemas.microsoft.com/office/drawing/2014/main" id="{8927FCF6-3308-406F-93F4-593BD6A3CF00}"/>
              </a:ext>
            </a:extLst>
          </xdr:cNvPr>
          <xdr:cNvSpPr/>
        </xdr:nvSpPr>
        <xdr:spPr>
          <a:xfrm>
            <a:off x="279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8" name="$B$1">
            <a:extLst>
              <a:ext uri="{FF2B5EF4-FFF2-40B4-BE49-F238E27FC236}">
                <a16:creationId xmlns:a16="http://schemas.microsoft.com/office/drawing/2014/main" id="{38A30FEF-2EB8-40FC-A09D-5A3E42639977}"/>
              </a:ext>
            </a:extLst>
          </xdr:cNvPr>
          <xdr:cNvSpPr/>
        </xdr:nvSpPr>
        <xdr:spPr>
          <a:xfrm>
            <a:off x="304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9" name="$B$1">
            <a:extLst>
              <a:ext uri="{FF2B5EF4-FFF2-40B4-BE49-F238E27FC236}">
                <a16:creationId xmlns:a16="http://schemas.microsoft.com/office/drawing/2014/main" id="{8CE59F74-A0FB-427E-84B0-9C6EAC24A043}"/>
              </a:ext>
            </a:extLst>
          </xdr:cNvPr>
          <xdr:cNvSpPr/>
        </xdr:nvSpPr>
        <xdr:spPr>
          <a:xfrm>
            <a:off x="317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0" name="$B$1">
            <a:extLst>
              <a:ext uri="{FF2B5EF4-FFF2-40B4-BE49-F238E27FC236}">
                <a16:creationId xmlns:a16="http://schemas.microsoft.com/office/drawing/2014/main" id="{A084D974-EBEC-4979-82C4-7EA095A4A6AC}"/>
              </a:ext>
            </a:extLst>
          </xdr:cNvPr>
          <xdr:cNvSpPr/>
        </xdr:nvSpPr>
        <xdr:spPr>
          <a:xfrm>
            <a:off x="3302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1" name="$B$1">
            <a:extLst>
              <a:ext uri="{FF2B5EF4-FFF2-40B4-BE49-F238E27FC236}">
                <a16:creationId xmlns:a16="http://schemas.microsoft.com/office/drawing/2014/main" id="{69FBDDDB-B4B5-4978-B9F5-1B058D2F181B}"/>
              </a:ext>
            </a:extLst>
          </xdr:cNvPr>
          <xdr:cNvSpPr/>
        </xdr:nvSpPr>
        <xdr:spPr>
          <a:xfrm>
            <a:off x="393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2" name="$B$1">
            <a:extLst>
              <a:ext uri="{FF2B5EF4-FFF2-40B4-BE49-F238E27FC236}">
                <a16:creationId xmlns:a16="http://schemas.microsoft.com/office/drawing/2014/main" id="{AAD5D6B1-4409-4A74-B138-6A28909F78BE}"/>
              </a:ext>
            </a:extLst>
          </xdr:cNvPr>
          <xdr:cNvSpPr/>
        </xdr:nvSpPr>
        <xdr:spPr>
          <a:xfrm>
            <a:off x="406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3" name="$B$1">
            <a:extLst>
              <a:ext uri="{FF2B5EF4-FFF2-40B4-BE49-F238E27FC236}">
                <a16:creationId xmlns:a16="http://schemas.microsoft.com/office/drawing/2014/main" id="{C7825A08-9AE6-47DF-B60E-AD2EBEAEC63F}"/>
              </a:ext>
            </a:extLst>
          </xdr:cNvPr>
          <xdr:cNvSpPr/>
        </xdr:nvSpPr>
        <xdr:spPr>
          <a:xfrm>
            <a:off x="444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4" name="$B$1">
            <a:extLst>
              <a:ext uri="{FF2B5EF4-FFF2-40B4-BE49-F238E27FC236}">
                <a16:creationId xmlns:a16="http://schemas.microsoft.com/office/drawing/2014/main" id="{42FCE09B-1745-42C7-9095-8322F49136D8}"/>
              </a:ext>
            </a:extLst>
          </xdr:cNvPr>
          <xdr:cNvSpPr/>
        </xdr:nvSpPr>
        <xdr:spPr>
          <a:xfrm>
            <a:off x="4572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5" name="$B$1">
            <a:extLst>
              <a:ext uri="{FF2B5EF4-FFF2-40B4-BE49-F238E27FC236}">
                <a16:creationId xmlns:a16="http://schemas.microsoft.com/office/drawing/2014/main" id="{2F33EF8F-82B7-415A-97A4-E7EE43DECE14}"/>
              </a:ext>
            </a:extLst>
          </xdr:cNvPr>
          <xdr:cNvSpPr/>
        </xdr:nvSpPr>
        <xdr:spPr>
          <a:xfrm>
            <a:off x="4699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6" name="$B$1">
            <a:extLst>
              <a:ext uri="{FF2B5EF4-FFF2-40B4-BE49-F238E27FC236}">
                <a16:creationId xmlns:a16="http://schemas.microsoft.com/office/drawing/2014/main" id="{D7BCB1FC-4733-49AA-B2C5-58047510A284}"/>
              </a:ext>
            </a:extLst>
          </xdr:cNvPr>
          <xdr:cNvSpPr/>
        </xdr:nvSpPr>
        <xdr:spPr>
          <a:xfrm>
            <a:off x="558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7" name="$B$1">
            <a:extLst>
              <a:ext uri="{FF2B5EF4-FFF2-40B4-BE49-F238E27FC236}">
                <a16:creationId xmlns:a16="http://schemas.microsoft.com/office/drawing/2014/main" id="{A91FB8C0-3167-4F43-BA0E-1FEE677BFE97}"/>
              </a:ext>
            </a:extLst>
          </xdr:cNvPr>
          <xdr:cNvSpPr/>
        </xdr:nvSpPr>
        <xdr:spPr>
          <a:xfrm>
            <a:off x="5969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8" name="$B$1">
            <a:extLst>
              <a:ext uri="{FF2B5EF4-FFF2-40B4-BE49-F238E27FC236}">
                <a16:creationId xmlns:a16="http://schemas.microsoft.com/office/drawing/2014/main" id="{A5410060-7A85-48CE-8103-BD382C37C7F4}"/>
              </a:ext>
            </a:extLst>
          </xdr:cNvPr>
          <xdr:cNvSpPr/>
        </xdr:nvSpPr>
        <xdr:spPr>
          <a:xfrm>
            <a:off x="6096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9" name="$B$1">
            <a:extLst>
              <a:ext uri="{FF2B5EF4-FFF2-40B4-BE49-F238E27FC236}">
                <a16:creationId xmlns:a16="http://schemas.microsoft.com/office/drawing/2014/main" id="{158F9046-674E-4F0B-8D78-86DAE855C493}"/>
              </a:ext>
            </a:extLst>
          </xdr:cNvPr>
          <xdr:cNvSpPr/>
        </xdr:nvSpPr>
        <xdr:spPr>
          <a:xfrm>
            <a:off x="6350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0" name="$B$1">
            <a:extLst>
              <a:ext uri="{FF2B5EF4-FFF2-40B4-BE49-F238E27FC236}">
                <a16:creationId xmlns:a16="http://schemas.microsoft.com/office/drawing/2014/main" id="{26AECD6C-867E-4B0D-A0A0-CA23B399B554}"/>
              </a:ext>
            </a:extLst>
          </xdr:cNvPr>
          <xdr:cNvSpPr/>
        </xdr:nvSpPr>
        <xdr:spPr>
          <a:xfrm>
            <a:off x="660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1" name="$B$1">
            <a:extLst>
              <a:ext uri="{FF2B5EF4-FFF2-40B4-BE49-F238E27FC236}">
                <a16:creationId xmlns:a16="http://schemas.microsoft.com/office/drawing/2014/main" id="{12BCD3C5-6755-4017-8555-AD6278529E5B}"/>
              </a:ext>
            </a:extLst>
          </xdr:cNvPr>
          <xdr:cNvSpPr/>
        </xdr:nvSpPr>
        <xdr:spPr>
          <a:xfrm>
            <a:off x="673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2" name="$B$1">
            <a:extLst>
              <a:ext uri="{FF2B5EF4-FFF2-40B4-BE49-F238E27FC236}">
                <a16:creationId xmlns:a16="http://schemas.microsoft.com/office/drawing/2014/main" id="{0CF07A29-C03B-4289-83F5-11928E7AD6F1}"/>
              </a:ext>
            </a:extLst>
          </xdr:cNvPr>
          <xdr:cNvSpPr/>
        </xdr:nvSpPr>
        <xdr:spPr>
          <a:xfrm>
            <a:off x="685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3" name="$B$1">
            <a:extLst>
              <a:ext uri="{FF2B5EF4-FFF2-40B4-BE49-F238E27FC236}">
                <a16:creationId xmlns:a16="http://schemas.microsoft.com/office/drawing/2014/main" id="{E269976C-FF2D-4143-B889-18B9A988A459}"/>
              </a:ext>
            </a:extLst>
          </xdr:cNvPr>
          <xdr:cNvSpPr/>
        </xdr:nvSpPr>
        <xdr:spPr>
          <a:xfrm>
            <a:off x="7112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4" name="$B$1">
            <a:extLst>
              <a:ext uri="{FF2B5EF4-FFF2-40B4-BE49-F238E27FC236}">
                <a16:creationId xmlns:a16="http://schemas.microsoft.com/office/drawing/2014/main" id="{91BB7680-F41C-45A5-A77F-F1B924AE5A89}"/>
              </a:ext>
            </a:extLst>
          </xdr:cNvPr>
          <xdr:cNvSpPr/>
        </xdr:nvSpPr>
        <xdr:spPr>
          <a:xfrm>
            <a:off x="7366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5" name="$B$1">
            <a:extLst>
              <a:ext uri="{FF2B5EF4-FFF2-40B4-BE49-F238E27FC236}">
                <a16:creationId xmlns:a16="http://schemas.microsoft.com/office/drawing/2014/main" id="{68F9864B-3F64-4208-8E1B-9AD84C831042}"/>
              </a:ext>
            </a:extLst>
          </xdr:cNvPr>
          <xdr:cNvSpPr/>
        </xdr:nvSpPr>
        <xdr:spPr>
          <a:xfrm>
            <a:off x="7493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6" name="$B$1">
            <a:extLst>
              <a:ext uri="{FF2B5EF4-FFF2-40B4-BE49-F238E27FC236}">
                <a16:creationId xmlns:a16="http://schemas.microsoft.com/office/drawing/2014/main" id="{6D213E42-2B01-4093-9150-DE95FA23DB9E}"/>
              </a:ext>
            </a:extLst>
          </xdr:cNvPr>
          <xdr:cNvSpPr/>
        </xdr:nvSpPr>
        <xdr:spPr>
          <a:xfrm>
            <a:off x="7620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7" name="$B$1">
            <a:extLst>
              <a:ext uri="{FF2B5EF4-FFF2-40B4-BE49-F238E27FC236}">
                <a16:creationId xmlns:a16="http://schemas.microsoft.com/office/drawing/2014/main" id="{AEDDA5E2-D305-4DC5-A0FB-14DFBAC109EE}"/>
              </a:ext>
            </a:extLst>
          </xdr:cNvPr>
          <xdr:cNvSpPr/>
        </xdr:nvSpPr>
        <xdr:spPr>
          <a:xfrm>
            <a:off x="812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8" name="$B$1">
            <a:extLst>
              <a:ext uri="{FF2B5EF4-FFF2-40B4-BE49-F238E27FC236}">
                <a16:creationId xmlns:a16="http://schemas.microsoft.com/office/drawing/2014/main" id="{EF4E8DC4-0EF2-442F-A4BE-2C01E6DD1952}"/>
              </a:ext>
            </a:extLst>
          </xdr:cNvPr>
          <xdr:cNvSpPr/>
        </xdr:nvSpPr>
        <xdr:spPr>
          <a:xfrm>
            <a:off x="825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9" name="$B$1">
            <a:extLst>
              <a:ext uri="{FF2B5EF4-FFF2-40B4-BE49-F238E27FC236}">
                <a16:creationId xmlns:a16="http://schemas.microsoft.com/office/drawing/2014/main" id="{B42D8C26-D798-472C-A69F-96B0134AC4A7}"/>
              </a:ext>
            </a:extLst>
          </xdr:cNvPr>
          <xdr:cNvSpPr/>
        </xdr:nvSpPr>
        <xdr:spPr>
          <a:xfrm>
            <a:off x="8763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0" name="$B$1">
            <a:extLst>
              <a:ext uri="{FF2B5EF4-FFF2-40B4-BE49-F238E27FC236}">
                <a16:creationId xmlns:a16="http://schemas.microsoft.com/office/drawing/2014/main" id="{51CFDB83-1740-4FB5-BEEA-9D5649D41C26}"/>
              </a:ext>
            </a:extLst>
          </xdr:cNvPr>
          <xdr:cNvSpPr/>
        </xdr:nvSpPr>
        <xdr:spPr>
          <a:xfrm>
            <a:off x="8890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1" name="$B$1">
            <a:extLst>
              <a:ext uri="{FF2B5EF4-FFF2-40B4-BE49-F238E27FC236}">
                <a16:creationId xmlns:a16="http://schemas.microsoft.com/office/drawing/2014/main" id="{1F8CA976-D3B9-44F6-8D36-6659CFC85A61}"/>
              </a:ext>
            </a:extLst>
          </xdr:cNvPr>
          <xdr:cNvSpPr/>
        </xdr:nvSpPr>
        <xdr:spPr>
          <a:xfrm>
            <a:off x="901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2" name="$B$1">
            <a:extLst>
              <a:ext uri="{FF2B5EF4-FFF2-40B4-BE49-F238E27FC236}">
                <a16:creationId xmlns:a16="http://schemas.microsoft.com/office/drawing/2014/main" id="{1F746069-40D5-4FC6-85E4-7F8AA8095347}"/>
              </a:ext>
            </a:extLst>
          </xdr:cNvPr>
          <xdr:cNvSpPr/>
        </xdr:nvSpPr>
        <xdr:spPr>
          <a:xfrm>
            <a:off x="914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3" name="$B$1">
            <a:extLst>
              <a:ext uri="{FF2B5EF4-FFF2-40B4-BE49-F238E27FC236}">
                <a16:creationId xmlns:a16="http://schemas.microsoft.com/office/drawing/2014/main" id="{3D0A1594-D1D9-4302-9D47-C3944181D2D8}"/>
              </a:ext>
            </a:extLst>
          </xdr:cNvPr>
          <xdr:cNvSpPr/>
        </xdr:nvSpPr>
        <xdr:spPr>
          <a:xfrm>
            <a:off x="927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4" name="$B$1">
            <a:extLst>
              <a:ext uri="{FF2B5EF4-FFF2-40B4-BE49-F238E27FC236}">
                <a16:creationId xmlns:a16="http://schemas.microsoft.com/office/drawing/2014/main" id="{517AD54B-C1CB-4D1F-8E5C-73D3C5F6C0BF}"/>
              </a:ext>
            </a:extLst>
          </xdr:cNvPr>
          <xdr:cNvSpPr/>
        </xdr:nvSpPr>
        <xdr:spPr>
          <a:xfrm>
            <a:off x="939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5" name="$B$1">
            <a:extLst>
              <a:ext uri="{FF2B5EF4-FFF2-40B4-BE49-F238E27FC236}">
                <a16:creationId xmlns:a16="http://schemas.microsoft.com/office/drawing/2014/main" id="{54A615A2-1EAF-4670-81C3-56724FC34A4B}"/>
              </a:ext>
            </a:extLst>
          </xdr:cNvPr>
          <xdr:cNvSpPr/>
        </xdr:nvSpPr>
        <xdr:spPr>
          <a:xfrm>
            <a:off x="952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6" name="$B$1">
            <a:extLst>
              <a:ext uri="{FF2B5EF4-FFF2-40B4-BE49-F238E27FC236}">
                <a16:creationId xmlns:a16="http://schemas.microsoft.com/office/drawing/2014/main" id="{2DCD49D7-2941-46F4-954C-68F4522E40B6}"/>
              </a:ext>
            </a:extLst>
          </xdr:cNvPr>
          <xdr:cNvSpPr/>
        </xdr:nvSpPr>
        <xdr:spPr>
          <a:xfrm>
            <a:off x="9779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7" name="$B$1">
            <a:extLst>
              <a:ext uri="{FF2B5EF4-FFF2-40B4-BE49-F238E27FC236}">
                <a16:creationId xmlns:a16="http://schemas.microsoft.com/office/drawing/2014/main" id="{041ED0CF-BB2D-4023-AB5C-7395A86F0088}"/>
              </a:ext>
            </a:extLst>
          </xdr:cNvPr>
          <xdr:cNvSpPr/>
        </xdr:nvSpPr>
        <xdr:spPr>
          <a:xfrm>
            <a:off x="1028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8" name="$B$1">
            <a:extLst>
              <a:ext uri="{FF2B5EF4-FFF2-40B4-BE49-F238E27FC236}">
                <a16:creationId xmlns:a16="http://schemas.microsoft.com/office/drawing/2014/main" id="{47A89252-2D15-4CE5-8F85-FCE5EA3FDAAD}"/>
              </a:ext>
            </a:extLst>
          </xdr:cNvPr>
          <xdr:cNvSpPr/>
        </xdr:nvSpPr>
        <xdr:spPr>
          <a:xfrm>
            <a:off x="1054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9" name="$B$1">
            <a:extLst>
              <a:ext uri="{FF2B5EF4-FFF2-40B4-BE49-F238E27FC236}">
                <a16:creationId xmlns:a16="http://schemas.microsoft.com/office/drawing/2014/main" id="{44C799A0-C56A-42FD-BE98-54E019A26188}"/>
              </a:ext>
            </a:extLst>
          </xdr:cNvPr>
          <xdr:cNvSpPr/>
        </xdr:nvSpPr>
        <xdr:spPr>
          <a:xfrm>
            <a:off x="10922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0" name="$B$1">
            <a:extLst>
              <a:ext uri="{FF2B5EF4-FFF2-40B4-BE49-F238E27FC236}">
                <a16:creationId xmlns:a16="http://schemas.microsoft.com/office/drawing/2014/main" id="{AD317FCE-879F-4A7D-B16B-094AB440FE6B}"/>
              </a:ext>
            </a:extLst>
          </xdr:cNvPr>
          <xdr:cNvSpPr/>
        </xdr:nvSpPr>
        <xdr:spPr>
          <a:xfrm>
            <a:off x="12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1" name="$B$1">
            <a:extLst>
              <a:ext uri="{FF2B5EF4-FFF2-40B4-BE49-F238E27FC236}">
                <a16:creationId xmlns:a16="http://schemas.microsoft.com/office/drawing/2014/main" id="{AB749985-5473-4055-895E-FBDAF0FAD2EC}"/>
              </a:ext>
            </a:extLst>
          </xdr:cNvPr>
          <xdr:cNvSpPr/>
        </xdr:nvSpPr>
        <xdr:spPr>
          <a:xfrm>
            <a:off x="25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2" name="$B$1">
            <a:extLst>
              <a:ext uri="{FF2B5EF4-FFF2-40B4-BE49-F238E27FC236}">
                <a16:creationId xmlns:a16="http://schemas.microsoft.com/office/drawing/2014/main" id="{1CF0F97A-29B3-4F56-B5C5-0FCA8DC16B8A}"/>
              </a:ext>
            </a:extLst>
          </xdr:cNvPr>
          <xdr:cNvSpPr/>
        </xdr:nvSpPr>
        <xdr:spPr>
          <a:xfrm>
            <a:off x="38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3" name="$B$1">
            <a:extLst>
              <a:ext uri="{FF2B5EF4-FFF2-40B4-BE49-F238E27FC236}">
                <a16:creationId xmlns:a16="http://schemas.microsoft.com/office/drawing/2014/main" id="{F62FD76D-DC64-44EC-B3F7-A876C50D8837}"/>
              </a:ext>
            </a:extLst>
          </xdr:cNvPr>
          <xdr:cNvSpPr/>
        </xdr:nvSpPr>
        <xdr:spPr>
          <a:xfrm>
            <a:off x="50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4" name="$B$1">
            <a:extLst>
              <a:ext uri="{FF2B5EF4-FFF2-40B4-BE49-F238E27FC236}">
                <a16:creationId xmlns:a16="http://schemas.microsoft.com/office/drawing/2014/main" id="{8294FD54-EE5E-4A40-8924-2603AEFF1647}"/>
              </a:ext>
            </a:extLst>
          </xdr:cNvPr>
          <xdr:cNvSpPr/>
        </xdr:nvSpPr>
        <xdr:spPr>
          <a:xfrm>
            <a:off x="63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5" name="$B$1">
            <a:extLst>
              <a:ext uri="{FF2B5EF4-FFF2-40B4-BE49-F238E27FC236}">
                <a16:creationId xmlns:a16="http://schemas.microsoft.com/office/drawing/2014/main" id="{1A71D602-21D7-48E0-8FAC-5F1486CC2D2C}"/>
              </a:ext>
            </a:extLst>
          </xdr:cNvPr>
          <xdr:cNvSpPr/>
        </xdr:nvSpPr>
        <xdr:spPr>
          <a:xfrm>
            <a:off x="762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6" name="$B$1">
            <a:extLst>
              <a:ext uri="{FF2B5EF4-FFF2-40B4-BE49-F238E27FC236}">
                <a16:creationId xmlns:a16="http://schemas.microsoft.com/office/drawing/2014/main" id="{00291778-7755-46F1-8543-EE7C955685F7}"/>
              </a:ext>
            </a:extLst>
          </xdr:cNvPr>
          <xdr:cNvSpPr/>
        </xdr:nvSpPr>
        <xdr:spPr>
          <a:xfrm>
            <a:off x="889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7" name="$B$1">
            <a:extLst>
              <a:ext uri="{FF2B5EF4-FFF2-40B4-BE49-F238E27FC236}">
                <a16:creationId xmlns:a16="http://schemas.microsoft.com/office/drawing/2014/main" id="{240BD0E7-6E71-4ED3-971C-B6484ECE5C71}"/>
              </a:ext>
            </a:extLst>
          </xdr:cNvPr>
          <xdr:cNvSpPr/>
        </xdr:nvSpPr>
        <xdr:spPr>
          <a:xfrm>
            <a:off x="101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8" name="$B$1">
            <a:extLst>
              <a:ext uri="{FF2B5EF4-FFF2-40B4-BE49-F238E27FC236}">
                <a16:creationId xmlns:a16="http://schemas.microsoft.com/office/drawing/2014/main" id="{86B62A76-40F5-420A-B96B-6942FCC69366}"/>
              </a:ext>
            </a:extLst>
          </xdr:cNvPr>
          <xdr:cNvSpPr/>
        </xdr:nvSpPr>
        <xdr:spPr>
          <a:xfrm>
            <a:off x="127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9" name="$B$1">
            <a:extLst>
              <a:ext uri="{FF2B5EF4-FFF2-40B4-BE49-F238E27FC236}">
                <a16:creationId xmlns:a16="http://schemas.microsoft.com/office/drawing/2014/main" id="{90DF7BEF-1814-41D2-AD5E-D33FDC7D0322}"/>
              </a:ext>
            </a:extLst>
          </xdr:cNvPr>
          <xdr:cNvSpPr/>
        </xdr:nvSpPr>
        <xdr:spPr>
          <a:xfrm>
            <a:off x="152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0" name="$B$1">
            <a:extLst>
              <a:ext uri="{FF2B5EF4-FFF2-40B4-BE49-F238E27FC236}">
                <a16:creationId xmlns:a16="http://schemas.microsoft.com/office/drawing/2014/main" id="{B5B80C78-5590-4FBC-9582-25C748A33F1B}"/>
              </a:ext>
            </a:extLst>
          </xdr:cNvPr>
          <xdr:cNvSpPr/>
        </xdr:nvSpPr>
        <xdr:spPr>
          <a:xfrm>
            <a:off x="177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1" name="$B$1">
            <a:extLst>
              <a:ext uri="{FF2B5EF4-FFF2-40B4-BE49-F238E27FC236}">
                <a16:creationId xmlns:a16="http://schemas.microsoft.com/office/drawing/2014/main" id="{48907137-7870-46A9-BE03-700F570F0432}"/>
              </a:ext>
            </a:extLst>
          </xdr:cNvPr>
          <xdr:cNvSpPr/>
        </xdr:nvSpPr>
        <xdr:spPr>
          <a:xfrm>
            <a:off x="228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2" name="$B$1">
            <a:extLst>
              <a:ext uri="{FF2B5EF4-FFF2-40B4-BE49-F238E27FC236}">
                <a16:creationId xmlns:a16="http://schemas.microsoft.com/office/drawing/2014/main" id="{FA006A7C-033A-4E33-A40E-ECA7D9E0A695}"/>
              </a:ext>
            </a:extLst>
          </xdr:cNvPr>
          <xdr:cNvSpPr/>
        </xdr:nvSpPr>
        <xdr:spPr>
          <a:xfrm>
            <a:off x="2413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3" name="$B$1">
            <a:extLst>
              <a:ext uri="{FF2B5EF4-FFF2-40B4-BE49-F238E27FC236}">
                <a16:creationId xmlns:a16="http://schemas.microsoft.com/office/drawing/2014/main" id="{E7A63FCB-C159-4499-9E85-98DACD88C5EE}"/>
              </a:ext>
            </a:extLst>
          </xdr:cNvPr>
          <xdr:cNvSpPr/>
        </xdr:nvSpPr>
        <xdr:spPr>
          <a:xfrm>
            <a:off x="254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4" name="$B$1">
            <a:extLst>
              <a:ext uri="{FF2B5EF4-FFF2-40B4-BE49-F238E27FC236}">
                <a16:creationId xmlns:a16="http://schemas.microsoft.com/office/drawing/2014/main" id="{4FFC7CDF-92CC-44DC-AD72-4BD18F4BFE4B}"/>
              </a:ext>
            </a:extLst>
          </xdr:cNvPr>
          <xdr:cNvSpPr/>
        </xdr:nvSpPr>
        <xdr:spPr>
          <a:xfrm>
            <a:off x="266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5" name="$B$1">
            <a:extLst>
              <a:ext uri="{FF2B5EF4-FFF2-40B4-BE49-F238E27FC236}">
                <a16:creationId xmlns:a16="http://schemas.microsoft.com/office/drawing/2014/main" id="{0E614C18-1784-4EAB-B440-1EF92DEC394D}"/>
              </a:ext>
            </a:extLst>
          </xdr:cNvPr>
          <xdr:cNvSpPr/>
        </xdr:nvSpPr>
        <xdr:spPr>
          <a:xfrm>
            <a:off x="279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6" name="$B$1">
            <a:extLst>
              <a:ext uri="{FF2B5EF4-FFF2-40B4-BE49-F238E27FC236}">
                <a16:creationId xmlns:a16="http://schemas.microsoft.com/office/drawing/2014/main" id="{F11FCD42-3E8E-43F3-89C2-46DA3195FCBD}"/>
              </a:ext>
            </a:extLst>
          </xdr:cNvPr>
          <xdr:cNvSpPr/>
        </xdr:nvSpPr>
        <xdr:spPr>
          <a:xfrm>
            <a:off x="304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7" name="$B$1">
            <a:extLst>
              <a:ext uri="{FF2B5EF4-FFF2-40B4-BE49-F238E27FC236}">
                <a16:creationId xmlns:a16="http://schemas.microsoft.com/office/drawing/2014/main" id="{F1E23FAC-7E67-4F0F-B27A-28319BD0ED65}"/>
              </a:ext>
            </a:extLst>
          </xdr:cNvPr>
          <xdr:cNvSpPr/>
        </xdr:nvSpPr>
        <xdr:spPr>
          <a:xfrm>
            <a:off x="3302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8" name="$B$1">
            <a:extLst>
              <a:ext uri="{FF2B5EF4-FFF2-40B4-BE49-F238E27FC236}">
                <a16:creationId xmlns:a16="http://schemas.microsoft.com/office/drawing/2014/main" id="{0D863772-5825-4371-8F88-5120B4AAE948}"/>
              </a:ext>
            </a:extLst>
          </xdr:cNvPr>
          <xdr:cNvSpPr/>
        </xdr:nvSpPr>
        <xdr:spPr>
          <a:xfrm>
            <a:off x="3429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9" name="$B$1">
            <a:extLst>
              <a:ext uri="{FF2B5EF4-FFF2-40B4-BE49-F238E27FC236}">
                <a16:creationId xmlns:a16="http://schemas.microsoft.com/office/drawing/2014/main" id="{3451AC28-A37A-467C-B99D-278968E4E5DA}"/>
              </a:ext>
            </a:extLst>
          </xdr:cNvPr>
          <xdr:cNvSpPr/>
        </xdr:nvSpPr>
        <xdr:spPr>
          <a:xfrm>
            <a:off x="355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0" name="$B$1">
            <a:extLst>
              <a:ext uri="{FF2B5EF4-FFF2-40B4-BE49-F238E27FC236}">
                <a16:creationId xmlns:a16="http://schemas.microsoft.com/office/drawing/2014/main" id="{99510D0E-4FA2-49EC-A123-6CD46EFFA227}"/>
              </a:ext>
            </a:extLst>
          </xdr:cNvPr>
          <xdr:cNvSpPr/>
        </xdr:nvSpPr>
        <xdr:spPr>
          <a:xfrm>
            <a:off x="419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1" name="$B$1">
            <a:extLst>
              <a:ext uri="{FF2B5EF4-FFF2-40B4-BE49-F238E27FC236}">
                <a16:creationId xmlns:a16="http://schemas.microsoft.com/office/drawing/2014/main" id="{FE6B3CFD-CBBE-4CE7-B192-4027171459A2}"/>
              </a:ext>
            </a:extLst>
          </xdr:cNvPr>
          <xdr:cNvSpPr/>
        </xdr:nvSpPr>
        <xdr:spPr>
          <a:xfrm>
            <a:off x="444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2" name="$B$1">
            <a:extLst>
              <a:ext uri="{FF2B5EF4-FFF2-40B4-BE49-F238E27FC236}">
                <a16:creationId xmlns:a16="http://schemas.microsoft.com/office/drawing/2014/main" id="{D6034CDA-D88D-4FF4-B103-73FA3C1BAD39}"/>
              </a:ext>
            </a:extLst>
          </xdr:cNvPr>
          <xdr:cNvSpPr/>
        </xdr:nvSpPr>
        <xdr:spPr>
          <a:xfrm>
            <a:off x="482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3" name="$B$1">
            <a:extLst>
              <a:ext uri="{FF2B5EF4-FFF2-40B4-BE49-F238E27FC236}">
                <a16:creationId xmlns:a16="http://schemas.microsoft.com/office/drawing/2014/main" id="{89C3E3F6-895F-4521-A49D-2831B03D91D9}"/>
              </a:ext>
            </a:extLst>
          </xdr:cNvPr>
          <xdr:cNvSpPr/>
        </xdr:nvSpPr>
        <xdr:spPr>
          <a:xfrm>
            <a:off x="571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4" name="$B$1">
            <a:extLst>
              <a:ext uri="{FF2B5EF4-FFF2-40B4-BE49-F238E27FC236}">
                <a16:creationId xmlns:a16="http://schemas.microsoft.com/office/drawing/2014/main" id="{9ECF569A-09C4-4F9E-97B6-8A0181C66565}"/>
              </a:ext>
            </a:extLst>
          </xdr:cNvPr>
          <xdr:cNvSpPr/>
        </xdr:nvSpPr>
        <xdr:spPr>
          <a:xfrm>
            <a:off x="5969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5" name="$B$1">
            <a:extLst>
              <a:ext uri="{FF2B5EF4-FFF2-40B4-BE49-F238E27FC236}">
                <a16:creationId xmlns:a16="http://schemas.microsoft.com/office/drawing/2014/main" id="{C6DB5DD6-0EC5-46F0-B58F-0B9E798FAB3F}"/>
              </a:ext>
            </a:extLst>
          </xdr:cNvPr>
          <xdr:cNvSpPr/>
        </xdr:nvSpPr>
        <xdr:spPr>
          <a:xfrm>
            <a:off x="609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6" name="$B$1">
            <a:extLst>
              <a:ext uri="{FF2B5EF4-FFF2-40B4-BE49-F238E27FC236}">
                <a16:creationId xmlns:a16="http://schemas.microsoft.com/office/drawing/2014/main" id="{168F439F-AABD-4272-8906-6A7BA1F24C4A}"/>
              </a:ext>
            </a:extLst>
          </xdr:cNvPr>
          <xdr:cNvSpPr/>
        </xdr:nvSpPr>
        <xdr:spPr>
          <a:xfrm>
            <a:off x="6223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7" name="$B$1">
            <a:extLst>
              <a:ext uri="{FF2B5EF4-FFF2-40B4-BE49-F238E27FC236}">
                <a16:creationId xmlns:a16="http://schemas.microsoft.com/office/drawing/2014/main" id="{B8307A46-81B5-4694-960E-96FC17C43609}"/>
              </a:ext>
            </a:extLst>
          </xdr:cNvPr>
          <xdr:cNvSpPr/>
        </xdr:nvSpPr>
        <xdr:spPr>
          <a:xfrm>
            <a:off x="635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8" name="$B$1">
            <a:extLst>
              <a:ext uri="{FF2B5EF4-FFF2-40B4-BE49-F238E27FC236}">
                <a16:creationId xmlns:a16="http://schemas.microsoft.com/office/drawing/2014/main" id="{0A57CD39-717C-4599-81C2-24CB54C76341}"/>
              </a:ext>
            </a:extLst>
          </xdr:cNvPr>
          <xdr:cNvSpPr/>
        </xdr:nvSpPr>
        <xdr:spPr>
          <a:xfrm>
            <a:off x="660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9" name="$B$1">
            <a:extLst>
              <a:ext uri="{FF2B5EF4-FFF2-40B4-BE49-F238E27FC236}">
                <a16:creationId xmlns:a16="http://schemas.microsoft.com/office/drawing/2014/main" id="{15956726-0430-4973-B35A-C8336E779151}"/>
              </a:ext>
            </a:extLst>
          </xdr:cNvPr>
          <xdr:cNvSpPr/>
        </xdr:nvSpPr>
        <xdr:spPr>
          <a:xfrm>
            <a:off x="673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0" name="$B$1">
            <a:extLst>
              <a:ext uri="{FF2B5EF4-FFF2-40B4-BE49-F238E27FC236}">
                <a16:creationId xmlns:a16="http://schemas.microsoft.com/office/drawing/2014/main" id="{FAF70864-BB69-4DEC-A7D0-A5FD302BDA50}"/>
              </a:ext>
            </a:extLst>
          </xdr:cNvPr>
          <xdr:cNvSpPr/>
        </xdr:nvSpPr>
        <xdr:spPr>
          <a:xfrm>
            <a:off x="685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1" name="$B$1">
            <a:extLst>
              <a:ext uri="{FF2B5EF4-FFF2-40B4-BE49-F238E27FC236}">
                <a16:creationId xmlns:a16="http://schemas.microsoft.com/office/drawing/2014/main" id="{EE1CF7E3-7CBE-4501-B03E-8CF203FEE93D}"/>
              </a:ext>
            </a:extLst>
          </xdr:cNvPr>
          <xdr:cNvSpPr/>
        </xdr:nvSpPr>
        <xdr:spPr>
          <a:xfrm>
            <a:off x="7112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2" name="$B$1">
            <a:extLst>
              <a:ext uri="{FF2B5EF4-FFF2-40B4-BE49-F238E27FC236}">
                <a16:creationId xmlns:a16="http://schemas.microsoft.com/office/drawing/2014/main" id="{3E3B47EC-3CB0-4113-A862-C21F9B98A76B}"/>
              </a:ext>
            </a:extLst>
          </xdr:cNvPr>
          <xdr:cNvSpPr/>
        </xdr:nvSpPr>
        <xdr:spPr>
          <a:xfrm>
            <a:off x="736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3" name="$B$1">
            <a:extLst>
              <a:ext uri="{FF2B5EF4-FFF2-40B4-BE49-F238E27FC236}">
                <a16:creationId xmlns:a16="http://schemas.microsoft.com/office/drawing/2014/main" id="{A03E3730-DF00-40E4-AD87-C6D4B4EBD0B9}"/>
              </a:ext>
            </a:extLst>
          </xdr:cNvPr>
          <xdr:cNvSpPr/>
        </xdr:nvSpPr>
        <xdr:spPr>
          <a:xfrm>
            <a:off x="7493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4" name="$B$1">
            <a:extLst>
              <a:ext uri="{FF2B5EF4-FFF2-40B4-BE49-F238E27FC236}">
                <a16:creationId xmlns:a16="http://schemas.microsoft.com/office/drawing/2014/main" id="{3AA694E9-BACC-4499-8C4D-85E8D9E61349}"/>
              </a:ext>
            </a:extLst>
          </xdr:cNvPr>
          <xdr:cNvSpPr/>
        </xdr:nvSpPr>
        <xdr:spPr>
          <a:xfrm>
            <a:off x="762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5" name="$B$1">
            <a:extLst>
              <a:ext uri="{FF2B5EF4-FFF2-40B4-BE49-F238E27FC236}">
                <a16:creationId xmlns:a16="http://schemas.microsoft.com/office/drawing/2014/main" id="{9FEBDE41-4878-4E87-A061-393AB7F9FBE6}"/>
              </a:ext>
            </a:extLst>
          </xdr:cNvPr>
          <xdr:cNvSpPr/>
        </xdr:nvSpPr>
        <xdr:spPr>
          <a:xfrm>
            <a:off x="774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6" name="$B$1">
            <a:extLst>
              <a:ext uri="{FF2B5EF4-FFF2-40B4-BE49-F238E27FC236}">
                <a16:creationId xmlns:a16="http://schemas.microsoft.com/office/drawing/2014/main" id="{19D037DB-D98F-4B12-9DAE-27D1A7DBB7CE}"/>
              </a:ext>
            </a:extLst>
          </xdr:cNvPr>
          <xdr:cNvSpPr/>
        </xdr:nvSpPr>
        <xdr:spPr>
          <a:xfrm>
            <a:off x="787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7" name="$B$1">
            <a:extLst>
              <a:ext uri="{FF2B5EF4-FFF2-40B4-BE49-F238E27FC236}">
                <a16:creationId xmlns:a16="http://schemas.microsoft.com/office/drawing/2014/main" id="{52112CFC-20CF-40E4-A8F6-7611D2D66C78}"/>
              </a:ext>
            </a:extLst>
          </xdr:cNvPr>
          <xdr:cNvSpPr/>
        </xdr:nvSpPr>
        <xdr:spPr>
          <a:xfrm>
            <a:off x="812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8" name="$B$1">
            <a:extLst>
              <a:ext uri="{FF2B5EF4-FFF2-40B4-BE49-F238E27FC236}">
                <a16:creationId xmlns:a16="http://schemas.microsoft.com/office/drawing/2014/main" id="{669F8ACA-7CE0-4BE9-BB1E-93FA8F5879A2}"/>
              </a:ext>
            </a:extLst>
          </xdr:cNvPr>
          <xdr:cNvSpPr/>
        </xdr:nvSpPr>
        <xdr:spPr>
          <a:xfrm>
            <a:off x="8763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9" name="$B$1">
            <a:extLst>
              <a:ext uri="{FF2B5EF4-FFF2-40B4-BE49-F238E27FC236}">
                <a16:creationId xmlns:a16="http://schemas.microsoft.com/office/drawing/2014/main" id="{F04A48A9-D009-4352-AE9D-3E120CA9069C}"/>
              </a:ext>
            </a:extLst>
          </xdr:cNvPr>
          <xdr:cNvSpPr/>
        </xdr:nvSpPr>
        <xdr:spPr>
          <a:xfrm>
            <a:off x="889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0" name="$B$1">
            <a:extLst>
              <a:ext uri="{FF2B5EF4-FFF2-40B4-BE49-F238E27FC236}">
                <a16:creationId xmlns:a16="http://schemas.microsoft.com/office/drawing/2014/main" id="{BB99A71C-DB3A-45F4-BD04-6656AEB61955}"/>
              </a:ext>
            </a:extLst>
          </xdr:cNvPr>
          <xdr:cNvSpPr/>
        </xdr:nvSpPr>
        <xdr:spPr>
          <a:xfrm>
            <a:off x="901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1" name="$B$1">
            <a:extLst>
              <a:ext uri="{FF2B5EF4-FFF2-40B4-BE49-F238E27FC236}">
                <a16:creationId xmlns:a16="http://schemas.microsoft.com/office/drawing/2014/main" id="{FFFC7505-0EC1-4289-B715-545DE15E8C0B}"/>
              </a:ext>
            </a:extLst>
          </xdr:cNvPr>
          <xdr:cNvSpPr/>
        </xdr:nvSpPr>
        <xdr:spPr>
          <a:xfrm>
            <a:off x="914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2" name="$B$1">
            <a:extLst>
              <a:ext uri="{FF2B5EF4-FFF2-40B4-BE49-F238E27FC236}">
                <a16:creationId xmlns:a16="http://schemas.microsoft.com/office/drawing/2014/main" id="{D21D2D30-FD62-45EC-8CB4-D8041650F27E}"/>
              </a:ext>
            </a:extLst>
          </xdr:cNvPr>
          <xdr:cNvSpPr/>
        </xdr:nvSpPr>
        <xdr:spPr>
          <a:xfrm>
            <a:off x="927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3" name="$B$1">
            <a:extLst>
              <a:ext uri="{FF2B5EF4-FFF2-40B4-BE49-F238E27FC236}">
                <a16:creationId xmlns:a16="http://schemas.microsoft.com/office/drawing/2014/main" id="{726ED68C-A9B2-4F64-A73F-A8B2C07F31E0}"/>
              </a:ext>
            </a:extLst>
          </xdr:cNvPr>
          <xdr:cNvSpPr/>
        </xdr:nvSpPr>
        <xdr:spPr>
          <a:xfrm>
            <a:off x="939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4" name="$B$1">
            <a:extLst>
              <a:ext uri="{FF2B5EF4-FFF2-40B4-BE49-F238E27FC236}">
                <a16:creationId xmlns:a16="http://schemas.microsoft.com/office/drawing/2014/main" id="{590AF77F-CFC7-4112-BD67-D6A45F6B1D88}"/>
              </a:ext>
            </a:extLst>
          </xdr:cNvPr>
          <xdr:cNvSpPr/>
        </xdr:nvSpPr>
        <xdr:spPr>
          <a:xfrm>
            <a:off x="952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5" name="$B$1">
            <a:extLst>
              <a:ext uri="{FF2B5EF4-FFF2-40B4-BE49-F238E27FC236}">
                <a16:creationId xmlns:a16="http://schemas.microsoft.com/office/drawing/2014/main" id="{FC166903-6F76-4442-A8C1-8F4E1EC380BF}"/>
              </a:ext>
            </a:extLst>
          </xdr:cNvPr>
          <xdr:cNvSpPr/>
        </xdr:nvSpPr>
        <xdr:spPr>
          <a:xfrm>
            <a:off x="9779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6" name="$B$1">
            <a:extLst>
              <a:ext uri="{FF2B5EF4-FFF2-40B4-BE49-F238E27FC236}">
                <a16:creationId xmlns:a16="http://schemas.microsoft.com/office/drawing/2014/main" id="{D444DD83-C8E1-4D87-A4EB-813E96944D51}"/>
              </a:ext>
            </a:extLst>
          </xdr:cNvPr>
          <xdr:cNvSpPr/>
        </xdr:nvSpPr>
        <xdr:spPr>
          <a:xfrm>
            <a:off x="1028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7" name="$B$1">
            <a:extLst>
              <a:ext uri="{FF2B5EF4-FFF2-40B4-BE49-F238E27FC236}">
                <a16:creationId xmlns:a16="http://schemas.microsoft.com/office/drawing/2014/main" id="{57875A5D-1C18-40EC-83C6-6E362391BAD3}"/>
              </a:ext>
            </a:extLst>
          </xdr:cNvPr>
          <xdr:cNvSpPr/>
        </xdr:nvSpPr>
        <xdr:spPr>
          <a:xfrm>
            <a:off x="1054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8" name="$B$1">
            <a:extLst>
              <a:ext uri="{FF2B5EF4-FFF2-40B4-BE49-F238E27FC236}">
                <a16:creationId xmlns:a16="http://schemas.microsoft.com/office/drawing/2014/main" id="{D2679091-E058-41BB-BFD9-2B9899CCAB93}"/>
              </a:ext>
            </a:extLst>
          </xdr:cNvPr>
          <xdr:cNvSpPr/>
        </xdr:nvSpPr>
        <xdr:spPr>
          <a:xfrm>
            <a:off x="10922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9" name="$B$1">
            <a:extLst>
              <a:ext uri="{FF2B5EF4-FFF2-40B4-BE49-F238E27FC236}">
                <a16:creationId xmlns:a16="http://schemas.microsoft.com/office/drawing/2014/main" id="{5880F768-D167-4A55-895E-2AE2C2F72E9B}"/>
              </a:ext>
            </a:extLst>
          </xdr:cNvPr>
          <xdr:cNvSpPr/>
        </xdr:nvSpPr>
        <xdr:spPr>
          <a:xfrm>
            <a:off x="12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0" name="$B$1">
            <a:extLst>
              <a:ext uri="{FF2B5EF4-FFF2-40B4-BE49-F238E27FC236}">
                <a16:creationId xmlns:a16="http://schemas.microsoft.com/office/drawing/2014/main" id="{4F11C7E3-072E-44AC-A927-04DF8E10603A}"/>
              </a:ext>
            </a:extLst>
          </xdr:cNvPr>
          <xdr:cNvSpPr/>
        </xdr:nvSpPr>
        <xdr:spPr>
          <a:xfrm>
            <a:off x="25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1" name="$B$1">
            <a:extLst>
              <a:ext uri="{FF2B5EF4-FFF2-40B4-BE49-F238E27FC236}">
                <a16:creationId xmlns:a16="http://schemas.microsoft.com/office/drawing/2014/main" id="{3422FF27-B274-4D7F-AFB7-76D75E8DC5DD}"/>
              </a:ext>
            </a:extLst>
          </xdr:cNvPr>
          <xdr:cNvSpPr/>
        </xdr:nvSpPr>
        <xdr:spPr>
          <a:xfrm>
            <a:off x="381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2" name="$B$1">
            <a:extLst>
              <a:ext uri="{FF2B5EF4-FFF2-40B4-BE49-F238E27FC236}">
                <a16:creationId xmlns:a16="http://schemas.microsoft.com/office/drawing/2014/main" id="{9F12E8EC-AFB2-4E22-BD58-18057E65809D}"/>
              </a:ext>
            </a:extLst>
          </xdr:cNvPr>
          <xdr:cNvSpPr/>
        </xdr:nvSpPr>
        <xdr:spPr>
          <a:xfrm>
            <a:off x="50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3" name="$B$1">
            <a:extLst>
              <a:ext uri="{FF2B5EF4-FFF2-40B4-BE49-F238E27FC236}">
                <a16:creationId xmlns:a16="http://schemas.microsoft.com/office/drawing/2014/main" id="{98F5198A-D022-4976-B635-E8128535C8E6}"/>
              </a:ext>
            </a:extLst>
          </xdr:cNvPr>
          <xdr:cNvSpPr/>
        </xdr:nvSpPr>
        <xdr:spPr>
          <a:xfrm>
            <a:off x="63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4" name="$B$1">
            <a:extLst>
              <a:ext uri="{FF2B5EF4-FFF2-40B4-BE49-F238E27FC236}">
                <a16:creationId xmlns:a16="http://schemas.microsoft.com/office/drawing/2014/main" id="{42F2173A-7C24-40D4-8686-519DF947146E}"/>
              </a:ext>
            </a:extLst>
          </xdr:cNvPr>
          <xdr:cNvSpPr/>
        </xdr:nvSpPr>
        <xdr:spPr>
          <a:xfrm>
            <a:off x="762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5" name="$B$1">
            <a:extLst>
              <a:ext uri="{FF2B5EF4-FFF2-40B4-BE49-F238E27FC236}">
                <a16:creationId xmlns:a16="http://schemas.microsoft.com/office/drawing/2014/main" id="{D97F9E6E-AA5C-4E77-B2DD-E56B2AB59DED}"/>
              </a:ext>
            </a:extLst>
          </xdr:cNvPr>
          <xdr:cNvSpPr/>
        </xdr:nvSpPr>
        <xdr:spPr>
          <a:xfrm>
            <a:off x="889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6" name="$B$1">
            <a:extLst>
              <a:ext uri="{FF2B5EF4-FFF2-40B4-BE49-F238E27FC236}">
                <a16:creationId xmlns:a16="http://schemas.microsoft.com/office/drawing/2014/main" id="{7D2422E6-7421-435B-9687-3A6C127F69FC}"/>
              </a:ext>
            </a:extLst>
          </xdr:cNvPr>
          <xdr:cNvSpPr/>
        </xdr:nvSpPr>
        <xdr:spPr>
          <a:xfrm>
            <a:off x="1016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7" name="$B$1">
            <a:extLst>
              <a:ext uri="{FF2B5EF4-FFF2-40B4-BE49-F238E27FC236}">
                <a16:creationId xmlns:a16="http://schemas.microsoft.com/office/drawing/2014/main" id="{1BF96489-E052-4C02-89CA-C3A59683966B}"/>
              </a:ext>
            </a:extLst>
          </xdr:cNvPr>
          <xdr:cNvSpPr/>
        </xdr:nvSpPr>
        <xdr:spPr>
          <a:xfrm>
            <a:off x="1270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8" name="$B$1">
            <a:extLst>
              <a:ext uri="{FF2B5EF4-FFF2-40B4-BE49-F238E27FC236}">
                <a16:creationId xmlns:a16="http://schemas.microsoft.com/office/drawing/2014/main" id="{91268954-2E10-4FB4-8702-FC0B288D8D47}"/>
              </a:ext>
            </a:extLst>
          </xdr:cNvPr>
          <xdr:cNvSpPr/>
        </xdr:nvSpPr>
        <xdr:spPr>
          <a:xfrm>
            <a:off x="152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9" name="$B$1">
            <a:extLst>
              <a:ext uri="{FF2B5EF4-FFF2-40B4-BE49-F238E27FC236}">
                <a16:creationId xmlns:a16="http://schemas.microsoft.com/office/drawing/2014/main" id="{6ACC5869-7C57-4424-8D3F-76EC5BC3A932}"/>
              </a:ext>
            </a:extLst>
          </xdr:cNvPr>
          <xdr:cNvSpPr/>
        </xdr:nvSpPr>
        <xdr:spPr>
          <a:xfrm>
            <a:off x="177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0" name="$B$1">
            <a:extLst>
              <a:ext uri="{FF2B5EF4-FFF2-40B4-BE49-F238E27FC236}">
                <a16:creationId xmlns:a16="http://schemas.microsoft.com/office/drawing/2014/main" id="{FD81F7D9-9C5A-46BD-8571-2BAD02567600}"/>
              </a:ext>
            </a:extLst>
          </xdr:cNvPr>
          <xdr:cNvSpPr/>
        </xdr:nvSpPr>
        <xdr:spPr>
          <a:xfrm>
            <a:off x="2286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1" name="$B$1">
            <a:extLst>
              <a:ext uri="{FF2B5EF4-FFF2-40B4-BE49-F238E27FC236}">
                <a16:creationId xmlns:a16="http://schemas.microsoft.com/office/drawing/2014/main" id="{D2CE2FA7-F338-473D-B361-CF5DCD4A03D2}"/>
              </a:ext>
            </a:extLst>
          </xdr:cNvPr>
          <xdr:cNvSpPr/>
        </xdr:nvSpPr>
        <xdr:spPr>
          <a:xfrm>
            <a:off x="2413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2" name="$B$1">
            <a:extLst>
              <a:ext uri="{FF2B5EF4-FFF2-40B4-BE49-F238E27FC236}">
                <a16:creationId xmlns:a16="http://schemas.microsoft.com/office/drawing/2014/main" id="{753F8DED-A836-415F-90DC-5DD43667D89A}"/>
              </a:ext>
            </a:extLst>
          </xdr:cNvPr>
          <xdr:cNvSpPr/>
        </xdr:nvSpPr>
        <xdr:spPr>
          <a:xfrm>
            <a:off x="266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3" name="$B$1">
            <a:extLst>
              <a:ext uri="{FF2B5EF4-FFF2-40B4-BE49-F238E27FC236}">
                <a16:creationId xmlns:a16="http://schemas.microsoft.com/office/drawing/2014/main" id="{3AFEA06C-220C-437F-B1BD-CA10A3916013}"/>
              </a:ext>
            </a:extLst>
          </xdr:cNvPr>
          <xdr:cNvSpPr/>
        </xdr:nvSpPr>
        <xdr:spPr>
          <a:xfrm>
            <a:off x="304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4" name="$B$1">
            <a:extLst>
              <a:ext uri="{FF2B5EF4-FFF2-40B4-BE49-F238E27FC236}">
                <a16:creationId xmlns:a16="http://schemas.microsoft.com/office/drawing/2014/main" id="{DD9DBA4C-3665-4FD2-826D-8DB4B2CD2EF0}"/>
              </a:ext>
            </a:extLst>
          </xdr:cNvPr>
          <xdr:cNvSpPr/>
        </xdr:nvSpPr>
        <xdr:spPr>
          <a:xfrm>
            <a:off x="317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5" name="$B$1">
            <a:extLst>
              <a:ext uri="{FF2B5EF4-FFF2-40B4-BE49-F238E27FC236}">
                <a16:creationId xmlns:a16="http://schemas.microsoft.com/office/drawing/2014/main" id="{A24E7B8A-FB0D-45C3-8286-B1A15722B99E}"/>
              </a:ext>
            </a:extLst>
          </xdr:cNvPr>
          <xdr:cNvSpPr/>
        </xdr:nvSpPr>
        <xdr:spPr>
          <a:xfrm>
            <a:off x="3302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6" name="$B$1">
            <a:extLst>
              <a:ext uri="{FF2B5EF4-FFF2-40B4-BE49-F238E27FC236}">
                <a16:creationId xmlns:a16="http://schemas.microsoft.com/office/drawing/2014/main" id="{C5A2D7FB-973A-4955-83F3-649048D59329}"/>
              </a:ext>
            </a:extLst>
          </xdr:cNvPr>
          <xdr:cNvSpPr/>
        </xdr:nvSpPr>
        <xdr:spPr>
          <a:xfrm>
            <a:off x="3683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7" name="$B$1">
            <a:extLst>
              <a:ext uri="{FF2B5EF4-FFF2-40B4-BE49-F238E27FC236}">
                <a16:creationId xmlns:a16="http://schemas.microsoft.com/office/drawing/2014/main" id="{FE204892-7144-4F58-B3ED-68D267EDA2F8}"/>
              </a:ext>
            </a:extLst>
          </xdr:cNvPr>
          <xdr:cNvSpPr/>
        </xdr:nvSpPr>
        <xdr:spPr>
          <a:xfrm>
            <a:off x="3810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8" name="$B$1">
            <a:extLst>
              <a:ext uri="{FF2B5EF4-FFF2-40B4-BE49-F238E27FC236}">
                <a16:creationId xmlns:a16="http://schemas.microsoft.com/office/drawing/2014/main" id="{3473339F-757C-427B-9019-F141B83359F9}"/>
              </a:ext>
            </a:extLst>
          </xdr:cNvPr>
          <xdr:cNvSpPr/>
        </xdr:nvSpPr>
        <xdr:spPr>
          <a:xfrm>
            <a:off x="393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9" name="$B$1">
            <a:extLst>
              <a:ext uri="{FF2B5EF4-FFF2-40B4-BE49-F238E27FC236}">
                <a16:creationId xmlns:a16="http://schemas.microsoft.com/office/drawing/2014/main" id="{340DE02E-D12E-4140-8B55-03CC8F8C6E4E}"/>
              </a:ext>
            </a:extLst>
          </xdr:cNvPr>
          <xdr:cNvSpPr/>
        </xdr:nvSpPr>
        <xdr:spPr>
          <a:xfrm>
            <a:off x="406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0" name="$B$1">
            <a:extLst>
              <a:ext uri="{FF2B5EF4-FFF2-40B4-BE49-F238E27FC236}">
                <a16:creationId xmlns:a16="http://schemas.microsoft.com/office/drawing/2014/main" id="{3B507F69-7B3A-4669-850B-BD3FDB3302FB}"/>
              </a:ext>
            </a:extLst>
          </xdr:cNvPr>
          <xdr:cNvSpPr/>
        </xdr:nvSpPr>
        <xdr:spPr>
          <a:xfrm>
            <a:off x="444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1" name="$B$1">
            <a:extLst>
              <a:ext uri="{FF2B5EF4-FFF2-40B4-BE49-F238E27FC236}">
                <a16:creationId xmlns:a16="http://schemas.microsoft.com/office/drawing/2014/main" id="{572F9147-83EC-4DC5-A37C-C53CC143C1E0}"/>
              </a:ext>
            </a:extLst>
          </xdr:cNvPr>
          <xdr:cNvSpPr/>
        </xdr:nvSpPr>
        <xdr:spPr>
          <a:xfrm>
            <a:off x="520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2" name="$B$1">
            <a:extLst>
              <a:ext uri="{FF2B5EF4-FFF2-40B4-BE49-F238E27FC236}">
                <a16:creationId xmlns:a16="http://schemas.microsoft.com/office/drawing/2014/main" id="{B9425C53-1397-40D3-BF49-44120C06C9B7}"/>
              </a:ext>
            </a:extLst>
          </xdr:cNvPr>
          <xdr:cNvSpPr/>
        </xdr:nvSpPr>
        <xdr:spPr>
          <a:xfrm>
            <a:off x="571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3" name="$B$1">
            <a:extLst>
              <a:ext uri="{FF2B5EF4-FFF2-40B4-BE49-F238E27FC236}">
                <a16:creationId xmlns:a16="http://schemas.microsoft.com/office/drawing/2014/main" id="{C92B3951-4360-4692-B140-87CB944AAE90}"/>
              </a:ext>
            </a:extLst>
          </xdr:cNvPr>
          <xdr:cNvSpPr/>
        </xdr:nvSpPr>
        <xdr:spPr>
          <a:xfrm>
            <a:off x="6350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4" name="$B$1">
            <a:extLst>
              <a:ext uri="{FF2B5EF4-FFF2-40B4-BE49-F238E27FC236}">
                <a16:creationId xmlns:a16="http://schemas.microsoft.com/office/drawing/2014/main" id="{4AC35188-01A9-47B1-AD87-8F4BFBCD8C9B}"/>
              </a:ext>
            </a:extLst>
          </xdr:cNvPr>
          <xdr:cNvSpPr/>
        </xdr:nvSpPr>
        <xdr:spPr>
          <a:xfrm>
            <a:off x="660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5" name="$B$1">
            <a:extLst>
              <a:ext uri="{FF2B5EF4-FFF2-40B4-BE49-F238E27FC236}">
                <a16:creationId xmlns:a16="http://schemas.microsoft.com/office/drawing/2014/main" id="{181C8FC1-9C20-413F-B89C-0836DBAF8E55}"/>
              </a:ext>
            </a:extLst>
          </xdr:cNvPr>
          <xdr:cNvSpPr/>
        </xdr:nvSpPr>
        <xdr:spPr>
          <a:xfrm>
            <a:off x="685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6" name="$B$1">
            <a:extLst>
              <a:ext uri="{FF2B5EF4-FFF2-40B4-BE49-F238E27FC236}">
                <a16:creationId xmlns:a16="http://schemas.microsoft.com/office/drawing/2014/main" id="{8D42F300-EBA2-44D2-B71A-4ECEBB215A16}"/>
              </a:ext>
            </a:extLst>
          </xdr:cNvPr>
          <xdr:cNvSpPr/>
        </xdr:nvSpPr>
        <xdr:spPr>
          <a:xfrm>
            <a:off x="7239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7" name="$B$1">
            <a:extLst>
              <a:ext uri="{FF2B5EF4-FFF2-40B4-BE49-F238E27FC236}">
                <a16:creationId xmlns:a16="http://schemas.microsoft.com/office/drawing/2014/main" id="{1997B24B-4486-4CC2-9156-32AC0C495A3E}"/>
              </a:ext>
            </a:extLst>
          </xdr:cNvPr>
          <xdr:cNvSpPr/>
        </xdr:nvSpPr>
        <xdr:spPr>
          <a:xfrm>
            <a:off x="7366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8" name="$B$1">
            <a:extLst>
              <a:ext uri="{FF2B5EF4-FFF2-40B4-BE49-F238E27FC236}">
                <a16:creationId xmlns:a16="http://schemas.microsoft.com/office/drawing/2014/main" id="{CEF52C4D-6623-4CCD-826E-F4E23FC7860C}"/>
              </a:ext>
            </a:extLst>
          </xdr:cNvPr>
          <xdr:cNvSpPr/>
        </xdr:nvSpPr>
        <xdr:spPr>
          <a:xfrm>
            <a:off x="7493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9" name="$B$1">
            <a:extLst>
              <a:ext uri="{FF2B5EF4-FFF2-40B4-BE49-F238E27FC236}">
                <a16:creationId xmlns:a16="http://schemas.microsoft.com/office/drawing/2014/main" id="{8168F0B4-1CE4-4D6E-B6DE-8C7FFC89EAD5}"/>
              </a:ext>
            </a:extLst>
          </xdr:cNvPr>
          <xdr:cNvSpPr/>
        </xdr:nvSpPr>
        <xdr:spPr>
          <a:xfrm>
            <a:off x="774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0" name="$B$1">
            <a:extLst>
              <a:ext uri="{FF2B5EF4-FFF2-40B4-BE49-F238E27FC236}">
                <a16:creationId xmlns:a16="http://schemas.microsoft.com/office/drawing/2014/main" id="{0DA0A557-739A-4AB2-A809-01022D01959E}"/>
              </a:ext>
            </a:extLst>
          </xdr:cNvPr>
          <xdr:cNvSpPr/>
        </xdr:nvSpPr>
        <xdr:spPr>
          <a:xfrm>
            <a:off x="787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1" name="$B$1">
            <a:extLst>
              <a:ext uri="{FF2B5EF4-FFF2-40B4-BE49-F238E27FC236}">
                <a16:creationId xmlns:a16="http://schemas.microsoft.com/office/drawing/2014/main" id="{F3A54E4A-E467-4BAD-B55F-B75F9378532A}"/>
              </a:ext>
            </a:extLst>
          </xdr:cNvPr>
          <xdr:cNvSpPr/>
        </xdr:nvSpPr>
        <xdr:spPr>
          <a:xfrm>
            <a:off x="8001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2" name="$B$1">
            <a:extLst>
              <a:ext uri="{FF2B5EF4-FFF2-40B4-BE49-F238E27FC236}">
                <a16:creationId xmlns:a16="http://schemas.microsoft.com/office/drawing/2014/main" id="{0A5CC0B8-DEB4-4626-B178-83B3506E6E49}"/>
              </a:ext>
            </a:extLst>
          </xdr:cNvPr>
          <xdr:cNvSpPr/>
        </xdr:nvSpPr>
        <xdr:spPr>
          <a:xfrm>
            <a:off x="8763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3" name="$B$1">
            <a:extLst>
              <a:ext uri="{FF2B5EF4-FFF2-40B4-BE49-F238E27FC236}">
                <a16:creationId xmlns:a16="http://schemas.microsoft.com/office/drawing/2014/main" id="{8864977A-BAA6-4BFF-917F-94CBEA0DAA03}"/>
              </a:ext>
            </a:extLst>
          </xdr:cNvPr>
          <xdr:cNvSpPr/>
        </xdr:nvSpPr>
        <xdr:spPr>
          <a:xfrm>
            <a:off x="8890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4" name="$B$1">
            <a:extLst>
              <a:ext uri="{FF2B5EF4-FFF2-40B4-BE49-F238E27FC236}">
                <a16:creationId xmlns:a16="http://schemas.microsoft.com/office/drawing/2014/main" id="{F3238FA8-490A-4EAC-BC38-9A51ED72AC18}"/>
              </a:ext>
            </a:extLst>
          </xdr:cNvPr>
          <xdr:cNvSpPr/>
        </xdr:nvSpPr>
        <xdr:spPr>
          <a:xfrm>
            <a:off x="901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5" name="$B$1">
            <a:extLst>
              <a:ext uri="{FF2B5EF4-FFF2-40B4-BE49-F238E27FC236}">
                <a16:creationId xmlns:a16="http://schemas.microsoft.com/office/drawing/2014/main" id="{638B289A-3908-4AA3-95F2-CF94E402DE34}"/>
              </a:ext>
            </a:extLst>
          </xdr:cNvPr>
          <xdr:cNvSpPr/>
        </xdr:nvSpPr>
        <xdr:spPr>
          <a:xfrm>
            <a:off x="914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6" name="$B$1">
            <a:extLst>
              <a:ext uri="{FF2B5EF4-FFF2-40B4-BE49-F238E27FC236}">
                <a16:creationId xmlns:a16="http://schemas.microsoft.com/office/drawing/2014/main" id="{58BF5D59-64A6-48F1-BF04-04DFE9000D04}"/>
              </a:ext>
            </a:extLst>
          </xdr:cNvPr>
          <xdr:cNvSpPr/>
        </xdr:nvSpPr>
        <xdr:spPr>
          <a:xfrm>
            <a:off x="9271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7" name="$B$1">
            <a:extLst>
              <a:ext uri="{FF2B5EF4-FFF2-40B4-BE49-F238E27FC236}">
                <a16:creationId xmlns:a16="http://schemas.microsoft.com/office/drawing/2014/main" id="{6C2D4BAD-01F4-4973-9BD6-5633CB923379}"/>
              </a:ext>
            </a:extLst>
          </xdr:cNvPr>
          <xdr:cNvSpPr/>
        </xdr:nvSpPr>
        <xdr:spPr>
          <a:xfrm>
            <a:off x="939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8" name="$B$1">
            <a:extLst>
              <a:ext uri="{FF2B5EF4-FFF2-40B4-BE49-F238E27FC236}">
                <a16:creationId xmlns:a16="http://schemas.microsoft.com/office/drawing/2014/main" id="{9F6C355A-8C93-4FEF-8946-4BEC2C5CAE98}"/>
              </a:ext>
            </a:extLst>
          </xdr:cNvPr>
          <xdr:cNvSpPr/>
        </xdr:nvSpPr>
        <xdr:spPr>
          <a:xfrm>
            <a:off x="952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9" name="$B$1">
            <a:extLst>
              <a:ext uri="{FF2B5EF4-FFF2-40B4-BE49-F238E27FC236}">
                <a16:creationId xmlns:a16="http://schemas.microsoft.com/office/drawing/2014/main" id="{6656BA55-37D2-479D-9BB6-0B371992D940}"/>
              </a:ext>
            </a:extLst>
          </xdr:cNvPr>
          <xdr:cNvSpPr/>
        </xdr:nvSpPr>
        <xdr:spPr>
          <a:xfrm>
            <a:off x="9779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0" name="$B$1">
            <a:extLst>
              <a:ext uri="{FF2B5EF4-FFF2-40B4-BE49-F238E27FC236}">
                <a16:creationId xmlns:a16="http://schemas.microsoft.com/office/drawing/2014/main" id="{77D735F4-8842-40C6-8B76-E5690528D7D4}"/>
              </a:ext>
            </a:extLst>
          </xdr:cNvPr>
          <xdr:cNvSpPr/>
        </xdr:nvSpPr>
        <xdr:spPr>
          <a:xfrm>
            <a:off x="1028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1" name="$B$1">
            <a:extLst>
              <a:ext uri="{FF2B5EF4-FFF2-40B4-BE49-F238E27FC236}">
                <a16:creationId xmlns:a16="http://schemas.microsoft.com/office/drawing/2014/main" id="{5AE0660C-A8E8-43E4-8B29-6A9988D625CC}"/>
              </a:ext>
            </a:extLst>
          </xdr:cNvPr>
          <xdr:cNvSpPr/>
        </xdr:nvSpPr>
        <xdr:spPr>
          <a:xfrm>
            <a:off x="10541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2" name="$B$1">
            <a:extLst>
              <a:ext uri="{FF2B5EF4-FFF2-40B4-BE49-F238E27FC236}">
                <a16:creationId xmlns:a16="http://schemas.microsoft.com/office/drawing/2014/main" id="{9F45A314-2758-449C-BDA5-A5CDA9D2EBDD}"/>
              </a:ext>
            </a:extLst>
          </xdr:cNvPr>
          <xdr:cNvSpPr/>
        </xdr:nvSpPr>
        <xdr:spPr>
          <a:xfrm>
            <a:off x="10922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3" name="$B$1">
            <a:extLst>
              <a:ext uri="{FF2B5EF4-FFF2-40B4-BE49-F238E27FC236}">
                <a16:creationId xmlns:a16="http://schemas.microsoft.com/office/drawing/2014/main" id="{D27E825B-AAB1-4500-957A-921C90DF7672}"/>
              </a:ext>
            </a:extLst>
          </xdr:cNvPr>
          <xdr:cNvSpPr/>
        </xdr:nvSpPr>
        <xdr:spPr>
          <a:xfrm>
            <a:off x="12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4" name="$B$1">
            <a:extLst>
              <a:ext uri="{FF2B5EF4-FFF2-40B4-BE49-F238E27FC236}">
                <a16:creationId xmlns:a16="http://schemas.microsoft.com/office/drawing/2014/main" id="{05E3B349-9A95-433E-BB94-CAD70CFF890F}"/>
              </a:ext>
            </a:extLst>
          </xdr:cNvPr>
          <xdr:cNvSpPr/>
        </xdr:nvSpPr>
        <xdr:spPr>
          <a:xfrm>
            <a:off x="25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5" name="$B$1">
            <a:extLst>
              <a:ext uri="{FF2B5EF4-FFF2-40B4-BE49-F238E27FC236}">
                <a16:creationId xmlns:a16="http://schemas.microsoft.com/office/drawing/2014/main" id="{DE6C9BEB-4D00-42F5-A93D-C84646D6B865}"/>
              </a:ext>
            </a:extLst>
          </xdr:cNvPr>
          <xdr:cNvSpPr/>
        </xdr:nvSpPr>
        <xdr:spPr>
          <a:xfrm>
            <a:off x="381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6" name="$B$1">
            <a:extLst>
              <a:ext uri="{FF2B5EF4-FFF2-40B4-BE49-F238E27FC236}">
                <a16:creationId xmlns:a16="http://schemas.microsoft.com/office/drawing/2014/main" id="{3A523AD2-A98B-463B-8422-BF265240F61C}"/>
              </a:ext>
            </a:extLst>
          </xdr:cNvPr>
          <xdr:cNvSpPr/>
        </xdr:nvSpPr>
        <xdr:spPr>
          <a:xfrm>
            <a:off x="50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7" name="$B$1">
            <a:extLst>
              <a:ext uri="{FF2B5EF4-FFF2-40B4-BE49-F238E27FC236}">
                <a16:creationId xmlns:a16="http://schemas.microsoft.com/office/drawing/2014/main" id="{50080425-2457-4072-A892-ED0AF8EB75C8}"/>
              </a:ext>
            </a:extLst>
          </xdr:cNvPr>
          <xdr:cNvSpPr/>
        </xdr:nvSpPr>
        <xdr:spPr>
          <a:xfrm>
            <a:off x="63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8" name="$B$1">
            <a:extLst>
              <a:ext uri="{FF2B5EF4-FFF2-40B4-BE49-F238E27FC236}">
                <a16:creationId xmlns:a16="http://schemas.microsoft.com/office/drawing/2014/main" id="{6D4F5B3B-3B8F-42D5-A09D-DAFDD76FBEB5}"/>
              </a:ext>
            </a:extLst>
          </xdr:cNvPr>
          <xdr:cNvSpPr/>
        </xdr:nvSpPr>
        <xdr:spPr>
          <a:xfrm>
            <a:off x="76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9" name="$B$1">
            <a:extLst>
              <a:ext uri="{FF2B5EF4-FFF2-40B4-BE49-F238E27FC236}">
                <a16:creationId xmlns:a16="http://schemas.microsoft.com/office/drawing/2014/main" id="{6C060ABC-19B3-4EBD-9F2A-3F68F740C4AD}"/>
              </a:ext>
            </a:extLst>
          </xdr:cNvPr>
          <xdr:cNvSpPr/>
        </xdr:nvSpPr>
        <xdr:spPr>
          <a:xfrm>
            <a:off x="88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0" name="$B$1">
            <a:extLst>
              <a:ext uri="{FF2B5EF4-FFF2-40B4-BE49-F238E27FC236}">
                <a16:creationId xmlns:a16="http://schemas.microsoft.com/office/drawing/2014/main" id="{1974482F-7587-46BF-943C-5C2D4BDCF432}"/>
              </a:ext>
            </a:extLst>
          </xdr:cNvPr>
          <xdr:cNvSpPr/>
        </xdr:nvSpPr>
        <xdr:spPr>
          <a:xfrm>
            <a:off x="1016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1" name="$B$1">
            <a:extLst>
              <a:ext uri="{FF2B5EF4-FFF2-40B4-BE49-F238E27FC236}">
                <a16:creationId xmlns:a16="http://schemas.microsoft.com/office/drawing/2014/main" id="{3D7E2842-D1DB-44DD-8C08-A8C7422829C4}"/>
              </a:ext>
            </a:extLst>
          </xdr:cNvPr>
          <xdr:cNvSpPr/>
        </xdr:nvSpPr>
        <xdr:spPr>
          <a:xfrm>
            <a:off x="127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2" name="$B$1">
            <a:extLst>
              <a:ext uri="{FF2B5EF4-FFF2-40B4-BE49-F238E27FC236}">
                <a16:creationId xmlns:a16="http://schemas.microsoft.com/office/drawing/2014/main" id="{4C3533D1-8337-41E6-8CF1-D74E22B99A5D}"/>
              </a:ext>
            </a:extLst>
          </xdr:cNvPr>
          <xdr:cNvSpPr/>
        </xdr:nvSpPr>
        <xdr:spPr>
          <a:xfrm>
            <a:off x="152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3" name="$B$1">
            <a:extLst>
              <a:ext uri="{FF2B5EF4-FFF2-40B4-BE49-F238E27FC236}">
                <a16:creationId xmlns:a16="http://schemas.microsoft.com/office/drawing/2014/main" id="{6A61BD9D-8C63-44CF-A09B-E0713D1B336C}"/>
              </a:ext>
            </a:extLst>
          </xdr:cNvPr>
          <xdr:cNvSpPr/>
        </xdr:nvSpPr>
        <xdr:spPr>
          <a:xfrm>
            <a:off x="177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4" name="$B$1">
            <a:extLst>
              <a:ext uri="{FF2B5EF4-FFF2-40B4-BE49-F238E27FC236}">
                <a16:creationId xmlns:a16="http://schemas.microsoft.com/office/drawing/2014/main" id="{2B07C42B-20F0-4B41-B0DF-AFE8F54A280C}"/>
              </a:ext>
            </a:extLst>
          </xdr:cNvPr>
          <xdr:cNvSpPr/>
        </xdr:nvSpPr>
        <xdr:spPr>
          <a:xfrm>
            <a:off x="2286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5" name="$B$1">
            <a:extLst>
              <a:ext uri="{FF2B5EF4-FFF2-40B4-BE49-F238E27FC236}">
                <a16:creationId xmlns:a16="http://schemas.microsoft.com/office/drawing/2014/main" id="{F422476E-E146-4243-901D-4512A0807DF2}"/>
              </a:ext>
            </a:extLst>
          </xdr:cNvPr>
          <xdr:cNvSpPr/>
        </xdr:nvSpPr>
        <xdr:spPr>
          <a:xfrm>
            <a:off x="241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6" name="$B$1">
            <a:extLst>
              <a:ext uri="{FF2B5EF4-FFF2-40B4-BE49-F238E27FC236}">
                <a16:creationId xmlns:a16="http://schemas.microsoft.com/office/drawing/2014/main" id="{2C34D876-0C59-48A0-A520-510DEC38F293}"/>
              </a:ext>
            </a:extLst>
          </xdr:cNvPr>
          <xdr:cNvSpPr/>
        </xdr:nvSpPr>
        <xdr:spPr>
          <a:xfrm>
            <a:off x="254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7" name="$B$1">
            <a:extLst>
              <a:ext uri="{FF2B5EF4-FFF2-40B4-BE49-F238E27FC236}">
                <a16:creationId xmlns:a16="http://schemas.microsoft.com/office/drawing/2014/main" id="{2DC7F3CF-551A-4130-9E89-443E623CFEFF}"/>
              </a:ext>
            </a:extLst>
          </xdr:cNvPr>
          <xdr:cNvSpPr/>
        </xdr:nvSpPr>
        <xdr:spPr>
          <a:xfrm>
            <a:off x="266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8" name="$B$1">
            <a:extLst>
              <a:ext uri="{FF2B5EF4-FFF2-40B4-BE49-F238E27FC236}">
                <a16:creationId xmlns:a16="http://schemas.microsoft.com/office/drawing/2014/main" id="{230BBE57-12E7-4EAB-B069-9CA70AEB379C}"/>
              </a:ext>
            </a:extLst>
          </xdr:cNvPr>
          <xdr:cNvSpPr/>
        </xdr:nvSpPr>
        <xdr:spPr>
          <a:xfrm>
            <a:off x="279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9" name="$B$1">
            <a:extLst>
              <a:ext uri="{FF2B5EF4-FFF2-40B4-BE49-F238E27FC236}">
                <a16:creationId xmlns:a16="http://schemas.microsoft.com/office/drawing/2014/main" id="{2EDABE14-659A-4BCA-80CF-167A2FE01624}"/>
              </a:ext>
            </a:extLst>
          </xdr:cNvPr>
          <xdr:cNvSpPr/>
        </xdr:nvSpPr>
        <xdr:spPr>
          <a:xfrm>
            <a:off x="304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0" name="$B$1">
            <a:extLst>
              <a:ext uri="{FF2B5EF4-FFF2-40B4-BE49-F238E27FC236}">
                <a16:creationId xmlns:a16="http://schemas.microsoft.com/office/drawing/2014/main" id="{70A59D70-CC0D-4878-A277-26FDD2D9D7BF}"/>
              </a:ext>
            </a:extLst>
          </xdr:cNvPr>
          <xdr:cNvSpPr/>
        </xdr:nvSpPr>
        <xdr:spPr>
          <a:xfrm>
            <a:off x="342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1" name="$B$1">
            <a:extLst>
              <a:ext uri="{FF2B5EF4-FFF2-40B4-BE49-F238E27FC236}">
                <a16:creationId xmlns:a16="http://schemas.microsoft.com/office/drawing/2014/main" id="{32BAD650-1685-4CB3-BF16-07B19B2AB293}"/>
              </a:ext>
            </a:extLst>
          </xdr:cNvPr>
          <xdr:cNvSpPr/>
        </xdr:nvSpPr>
        <xdr:spPr>
          <a:xfrm>
            <a:off x="368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2" name="$B$1">
            <a:extLst>
              <a:ext uri="{FF2B5EF4-FFF2-40B4-BE49-F238E27FC236}">
                <a16:creationId xmlns:a16="http://schemas.microsoft.com/office/drawing/2014/main" id="{1E6971D5-0208-41BA-AA9B-D413EC3EA59C}"/>
              </a:ext>
            </a:extLst>
          </xdr:cNvPr>
          <xdr:cNvSpPr/>
        </xdr:nvSpPr>
        <xdr:spPr>
          <a:xfrm>
            <a:off x="381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3" name="$B$1">
            <a:extLst>
              <a:ext uri="{FF2B5EF4-FFF2-40B4-BE49-F238E27FC236}">
                <a16:creationId xmlns:a16="http://schemas.microsoft.com/office/drawing/2014/main" id="{7A786EFE-3E0F-4B7F-B2AF-EAF72B8BDCA4}"/>
              </a:ext>
            </a:extLst>
          </xdr:cNvPr>
          <xdr:cNvSpPr/>
        </xdr:nvSpPr>
        <xdr:spPr>
          <a:xfrm>
            <a:off x="444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4" name="$B$1">
            <a:extLst>
              <a:ext uri="{FF2B5EF4-FFF2-40B4-BE49-F238E27FC236}">
                <a16:creationId xmlns:a16="http://schemas.microsoft.com/office/drawing/2014/main" id="{14C3F8C3-57ED-42A6-945D-0BD79E8A7EA2}"/>
              </a:ext>
            </a:extLst>
          </xdr:cNvPr>
          <xdr:cNvSpPr/>
        </xdr:nvSpPr>
        <xdr:spPr>
          <a:xfrm>
            <a:off x="457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5" name="$B$1">
            <a:extLst>
              <a:ext uri="{FF2B5EF4-FFF2-40B4-BE49-F238E27FC236}">
                <a16:creationId xmlns:a16="http://schemas.microsoft.com/office/drawing/2014/main" id="{5345E30F-7843-4724-81B0-E04D202E9303}"/>
              </a:ext>
            </a:extLst>
          </xdr:cNvPr>
          <xdr:cNvSpPr/>
        </xdr:nvSpPr>
        <xdr:spPr>
          <a:xfrm>
            <a:off x="469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6" name="$B$1">
            <a:extLst>
              <a:ext uri="{FF2B5EF4-FFF2-40B4-BE49-F238E27FC236}">
                <a16:creationId xmlns:a16="http://schemas.microsoft.com/office/drawing/2014/main" id="{1CA631DB-68D1-4C50-B17E-1C85DE546660}"/>
              </a:ext>
            </a:extLst>
          </xdr:cNvPr>
          <xdr:cNvSpPr/>
        </xdr:nvSpPr>
        <xdr:spPr>
          <a:xfrm>
            <a:off x="4826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7" name="$B$1">
            <a:extLst>
              <a:ext uri="{FF2B5EF4-FFF2-40B4-BE49-F238E27FC236}">
                <a16:creationId xmlns:a16="http://schemas.microsoft.com/office/drawing/2014/main" id="{B8BEBBE8-7E4C-4E41-B9DD-461325582191}"/>
              </a:ext>
            </a:extLst>
          </xdr:cNvPr>
          <xdr:cNvSpPr/>
        </xdr:nvSpPr>
        <xdr:spPr>
          <a:xfrm>
            <a:off x="533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8" name="$B$1">
            <a:extLst>
              <a:ext uri="{FF2B5EF4-FFF2-40B4-BE49-F238E27FC236}">
                <a16:creationId xmlns:a16="http://schemas.microsoft.com/office/drawing/2014/main" id="{6CC24C88-0970-4678-B269-3A5CE058AFDD}"/>
              </a:ext>
            </a:extLst>
          </xdr:cNvPr>
          <xdr:cNvSpPr/>
        </xdr:nvSpPr>
        <xdr:spPr>
          <a:xfrm>
            <a:off x="571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9" name="$B$1">
            <a:extLst>
              <a:ext uri="{FF2B5EF4-FFF2-40B4-BE49-F238E27FC236}">
                <a16:creationId xmlns:a16="http://schemas.microsoft.com/office/drawing/2014/main" id="{DA9DE29D-914C-45A1-BCA4-E12A2B0A437F}"/>
              </a:ext>
            </a:extLst>
          </xdr:cNvPr>
          <xdr:cNvSpPr/>
        </xdr:nvSpPr>
        <xdr:spPr>
          <a:xfrm>
            <a:off x="584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0" name="$B$1">
            <a:extLst>
              <a:ext uri="{FF2B5EF4-FFF2-40B4-BE49-F238E27FC236}">
                <a16:creationId xmlns:a16="http://schemas.microsoft.com/office/drawing/2014/main" id="{4B5226DC-7C3C-4288-AB54-8A4E62E4C833}"/>
              </a:ext>
            </a:extLst>
          </xdr:cNvPr>
          <xdr:cNvSpPr/>
        </xdr:nvSpPr>
        <xdr:spPr>
          <a:xfrm>
            <a:off x="622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1" name="$B$1">
            <a:extLst>
              <a:ext uri="{FF2B5EF4-FFF2-40B4-BE49-F238E27FC236}">
                <a16:creationId xmlns:a16="http://schemas.microsoft.com/office/drawing/2014/main" id="{74ACD598-50C5-4408-896A-802974012E43}"/>
              </a:ext>
            </a:extLst>
          </xdr:cNvPr>
          <xdr:cNvSpPr/>
        </xdr:nvSpPr>
        <xdr:spPr>
          <a:xfrm>
            <a:off x="635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2" name="$B$1">
            <a:extLst>
              <a:ext uri="{FF2B5EF4-FFF2-40B4-BE49-F238E27FC236}">
                <a16:creationId xmlns:a16="http://schemas.microsoft.com/office/drawing/2014/main" id="{F51FB29B-D7B9-4268-84D1-7824CCFDEEA8}"/>
              </a:ext>
            </a:extLst>
          </xdr:cNvPr>
          <xdr:cNvSpPr/>
        </xdr:nvSpPr>
        <xdr:spPr>
          <a:xfrm>
            <a:off x="660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3" name="$B$1">
            <a:extLst>
              <a:ext uri="{FF2B5EF4-FFF2-40B4-BE49-F238E27FC236}">
                <a16:creationId xmlns:a16="http://schemas.microsoft.com/office/drawing/2014/main" id="{3EBB2F24-05D6-476D-A46B-2C35985B8D92}"/>
              </a:ext>
            </a:extLst>
          </xdr:cNvPr>
          <xdr:cNvSpPr/>
        </xdr:nvSpPr>
        <xdr:spPr>
          <a:xfrm>
            <a:off x="685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4" name="$B$1">
            <a:extLst>
              <a:ext uri="{FF2B5EF4-FFF2-40B4-BE49-F238E27FC236}">
                <a16:creationId xmlns:a16="http://schemas.microsoft.com/office/drawing/2014/main" id="{6D5105D3-8E26-46E3-9882-FF602F62B1E4}"/>
              </a:ext>
            </a:extLst>
          </xdr:cNvPr>
          <xdr:cNvSpPr/>
        </xdr:nvSpPr>
        <xdr:spPr>
          <a:xfrm>
            <a:off x="711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5" name="$B$1">
            <a:extLst>
              <a:ext uri="{FF2B5EF4-FFF2-40B4-BE49-F238E27FC236}">
                <a16:creationId xmlns:a16="http://schemas.microsoft.com/office/drawing/2014/main" id="{0F646F4F-4A4E-48D9-A0D7-3442D7D4D48F}"/>
              </a:ext>
            </a:extLst>
          </xdr:cNvPr>
          <xdr:cNvSpPr/>
        </xdr:nvSpPr>
        <xdr:spPr>
          <a:xfrm>
            <a:off x="723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6" name="$B$1">
            <a:extLst>
              <a:ext uri="{FF2B5EF4-FFF2-40B4-BE49-F238E27FC236}">
                <a16:creationId xmlns:a16="http://schemas.microsoft.com/office/drawing/2014/main" id="{6C9BD5DB-1620-486A-A13B-F12D288DB3F8}"/>
              </a:ext>
            </a:extLst>
          </xdr:cNvPr>
          <xdr:cNvSpPr/>
        </xdr:nvSpPr>
        <xdr:spPr>
          <a:xfrm>
            <a:off x="7366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7" name="$B$1">
            <a:extLst>
              <a:ext uri="{FF2B5EF4-FFF2-40B4-BE49-F238E27FC236}">
                <a16:creationId xmlns:a16="http://schemas.microsoft.com/office/drawing/2014/main" id="{B8F998FD-8FD0-4F73-BFDD-87630F026FCB}"/>
              </a:ext>
            </a:extLst>
          </xdr:cNvPr>
          <xdr:cNvSpPr/>
        </xdr:nvSpPr>
        <xdr:spPr>
          <a:xfrm>
            <a:off x="749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8" name="$B$1">
            <a:extLst>
              <a:ext uri="{FF2B5EF4-FFF2-40B4-BE49-F238E27FC236}">
                <a16:creationId xmlns:a16="http://schemas.microsoft.com/office/drawing/2014/main" id="{88B9F3FA-4C4B-4907-A10E-7BE7A919FBBF}"/>
              </a:ext>
            </a:extLst>
          </xdr:cNvPr>
          <xdr:cNvSpPr/>
        </xdr:nvSpPr>
        <xdr:spPr>
          <a:xfrm>
            <a:off x="762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9" name="$B$1">
            <a:extLst>
              <a:ext uri="{FF2B5EF4-FFF2-40B4-BE49-F238E27FC236}">
                <a16:creationId xmlns:a16="http://schemas.microsoft.com/office/drawing/2014/main" id="{61167655-B4AE-4AF5-9223-C0E90ED3D350}"/>
              </a:ext>
            </a:extLst>
          </xdr:cNvPr>
          <xdr:cNvSpPr/>
        </xdr:nvSpPr>
        <xdr:spPr>
          <a:xfrm>
            <a:off x="774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0" name="$B$1">
            <a:extLst>
              <a:ext uri="{FF2B5EF4-FFF2-40B4-BE49-F238E27FC236}">
                <a16:creationId xmlns:a16="http://schemas.microsoft.com/office/drawing/2014/main" id="{0F9F9D99-6F3F-4E80-9FA0-724B310977B6}"/>
              </a:ext>
            </a:extLst>
          </xdr:cNvPr>
          <xdr:cNvSpPr/>
        </xdr:nvSpPr>
        <xdr:spPr>
          <a:xfrm>
            <a:off x="812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1" name="$B$1">
            <a:extLst>
              <a:ext uri="{FF2B5EF4-FFF2-40B4-BE49-F238E27FC236}">
                <a16:creationId xmlns:a16="http://schemas.microsoft.com/office/drawing/2014/main" id="{1906611E-FFAB-40DC-8101-16FA61AE01AC}"/>
              </a:ext>
            </a:extLst>
          </xdr:cNvPr>
          <xdr:cNvSpPr/>
        </xdr:nvSpPr>
        <xdr:spPr>
          <a:xfrm>
            <a:off x="825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2" name="$B$1">
            <a:extLst>
              <a:ext uri="{FF2B5EF4-FFF2-40B4-BE49-F238E27FC236}">
                <a16:creationId xmlns:a16="http://schemas.microsoft.com/office/drawing/2014/main" id="{D6AF79AD-A453-4063-BA95-E553C8F9BDC1}"/>
              </a:ext>
            </a:extLst>
          </xdr:cNvPr>
          <xdr:cNvSpPr/>
        </xdr:nvSpPr>
        <xdr:spPr>
          <a:xfrm>
            <a:off x="838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3" name="$B$1">
            <a:extLst>
              <a:ext uri="{FF2B5EF4-FFF2-40B4-BE49-F238E27FC236}">
                <a16:creationId xmlns:a16="http://schemas.microsoft.com/office/drawing/2014/main" id="{C79DC998-DDBF-4351-8A2D-5E04C67B8950}"/>
              </a:ext>
            </a:extLst>
          </xdr:cNvPr>
          <xdr:cNvSpPr/>
        </xdr:nvSpPr>
        <xdr:spPr>
          <a:xfrm>
            <a:off x="876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4" name="$B$1">
            <a:extLst>
              <a:ext uri="{FF2B5EF4-FFF2-40B4-BE49-F238E27FC236}">
                <a16:creationId xmlns:a16="http://schemas.microsoft.com/office/drawing/2014/main" id="{4CCC9532-A467-47EB-AF32-2092A3F41FC2}"/>
              </a:ext>
            </a:extLst>
          </xdr:cNvPr>
          <xdr:cNvSpPr/>
        </xdr:nvSpPr>
        <xdr:spPr>
          <a:xfrm>
            <a:off x="889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5" name="$B$1">
            <a:extLst>
              <a:ext uri="{FF2B5EF4-FFF2-40B4-BE49-F238E27FC236}">
                <a16:creationId xmlns:a16="http://schemas.microsoft.com/office/drawing/2014/main" id="{03FFA726-96DC-4CA1-9B17-17B6B6546DF4}"/>
              </a:ext>
            </a:extLst>
          </xdr:cNvPr>
          <xdr:cNvSpPr/>
        </xdr:nvSpPr>
        <xdr:spPr>
          <a:xfrm>
            <a:off x="901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6" name="$B$1">
            <a:extLst>
              <a:ext uri="{FF2B5EF4-FFF2-40B4-BE49-F238E27FC236}">
                <a16:creationId xmlns:a16="http://schemas.microsoft.com/office/drawing/2014/main" id="{F829BD36-6201-4C90-9EB0-7AAE230F903E}"/>
              </a:ext>
            </a:extLst>
          </xdr:cNvPr>
          <xdr:cNvSpPr/>
        </xdr:nvSpPr>
        <xdr:spPr>
          <a:xfrm>
            <a:off x="914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7" name="$B$1">
            <a:extLst>
              <a:ext uri="{FF2B5EF4-FFF2-40B4-BE49-F238E27FC236}">
                <a16:creationId xmlns:a16="http://schemas.microsoft.com/office/drawing/2014/main" id="{5EBB83E9-A262-4F99-A7EC-B2B5689C3E26}"/>
              </a:ext>
            </a:extLst>
          </xdr:cNvPr>
          <xdr:cNvSpPr/>
        </xdr:nvSpPr>
        <xdr:spPr>
          <a:xfrm>
            <a:off x="9271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8" name="$B$1">
            <a:extLst>
              <a:ext uri="{FF2B5EF4-FFF2-40B4-BE49-F238E27FC236}">
                <a16:creationId xmlns:a16="http://schemas.microsoft.com/office/drawing/2014/main" id="{3BE71DE5-F38E-4D18-9362-05448F153334}"/>
              </a:ext>
            </a:extLst>
          </xdr:cNvPr>
          <xdr:cNvSpPr/>
        </xdr:nvSpPr>
        <xdr:spPr>
          <a:xfrm>
            <a:off x="939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9" name="$B$1">
            <a:extLst>
              <a:ext uri="{FF2B5EF4-FFF2-40B4-BE49-F238E27FC236}">
                <a16:creationId xmlns:a16="http://schemas.microsoft.com/office/drawing/2014/main" id="{8B69FC5B-FE51-4181-B68E-5ECF03EDCE26}"/>
              </a:ext>
            </a:extLst>
          </xdr:cNvPr>
          <xdr:cNvSpPr/>
        </xdr:nvSpPr>
        <xdr:spPr>
          <a:xfrm>
            <a:off x="952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0" name="$B$1">
            <a:extLst>
              <a:ext uri="{FF2B5EF4-FFF2-40B4-BE49-F238E27FC236}">
                <a16:creationId xmlns:a16="http://schemas.microsoft.com/office/drawing/2014/main" id="{3A7C277F-738B-4480-8B80-417C3DFABAF4}"/>
              </a:ext>
            </a:extLst>
          </xdr:cNvPr>
          <xdr:cNvSpPr/>
        </xdr:nvSpPr>
        <xdr:spPr>
          <a:xfrm>
            <a:off x="977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1" name="$B$1">
            <a:extLst>
              <a:ext uri="{FF2B5EF4-FFF2-40B4-BE49-F238E27FC236}">
                <a16:creationId xmlns:a16="http://schemas.microsoft.com/office/drawing/2014/main" id="{AAC1A39F-8BAC-4A1B-AE86-AB1955B04A3B}"/>
              </a:ext>
            </a:extLst>
          </xdr:cNvPr>
          <xdr:cNvSpPr/>
        </xdr:nvSpPr>
        <xdr:spPr>
          <a:xfrm>
            <a:off x="1028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2" name="$B$1">
            <a:extLst>
              <a:ext uri="{FF2B5EF4-FFF2-40B4-BE49-F238E27FC236}">
                <a16:creationId xmlns:a16="http://schemas.microsoft.com/office/drawing/2014/main" id="{9C3D3F59-8FA8-419F-9B54-8000533585F2}"/>
              </a:ext>
            </a:extLst>
          </xdr:cNvPr>
          <xdr:cNvSpPr/>
        </xdr:nvSpPr>
        <xdr:spPr>
          <a:xfrm>
            <a:off x="10541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3" name="$B$1">
            <a:extLst>
              <a:ext uri="{FF2B5EF4-FFF2-40B4-BE49-F238E27FC236}">
                <a16:creationId xmlns:a16="http://schemas.microsoft.com/office/drawing/2014/main" id="{9675975A-BD66-4FF0-A3EC-CFEA050243D5}"/>
              </a:ext>
            </a:extLst>
          </xdr:cNvPr>
          <xdr:cNvSpPr/>
        </xdr:nvSpPr>
        <xdr:spPr>
          <a:xfrm>
            <a:off x="1092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4" name="$B$1">
            <a:extLst>
              <a:ext uri="{FF2B5EF4-FFF2-40B4-BE49-F238E27FC236}">
                <a16:creationId xmlns:a16="http://schemas.microsoft.com/office/drawing/2014/main" id="{BAA04D3C-19A6-483D-A82E-3801F9B5CC64}"/>
              </a:ext>
            </a:extLst>
          </xdr:cNvPr>
          <xdr:cNvSpPr/>
        </xdr:nvSpPr>
        <xdr:spPr>
          <a:xfrm>
            <a:off x="127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5" name="$B$1">
            <a:extLst>
              <a:ext uri="{FF2B5EF4-FFF2-40B4-BE49-F238E27FC236}">
                <a16:creationId xmlns:a16="http://schemas.microsoft.com/office/drawing/2014/main" id="{A9117223-2D23-4E6A-B4F8-BB1DD2623A18}"/>
              </a:ext>
            </a:extLst>
          </xdr:cNvPr>
          <xdr:cNvSpPr/>
        </xdr:nvSpPr>
        <xdr:spPr>
          <a:xfrm>
            <a:off x="25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6" name="$B$1">
            <a:extLst>
              <a:ext uri="{FF2B5EF4-FFF2-40B4-BE49-F238E27FC236}">
                <a16:creationId xmlns:a16="http://schemas.microsoft.com/office/drawing/2014/main" id="{ECCC47CA-FBCB-467D-9DDF-89F15D86EAF4}"/>
              </a:ext>
            </a:extLst>
          </xdr:cNvPr>
          <xdr:cNvSpPr/>
        </xdr:nvSpPr>
        <xdr:spPr>
          <a:xfrm>
            <a:off x="38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7" name="$B$1">
            <a:extLst>
              <a:ext uri="{FF2B5EF4-FFF2-40B4-BE49-F238E27FC236}">
                <a16:creationId xmlns:a16="http://schemas.microsoft.com/office/drawing/2014/main" id="{C2C5E4D4-448E-4E78-BCA2-058B5E209545}"/>
              </a:ext>
            </a:extLst>
          </xdr:cNvPr>
          <xdr:cNvSpPr/>
        </xdr:nvSpPr>
        <xdr:spPr>
          <a:xfrm>
            <a:off x="50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8" name="$B$1">
            <a:extLst>
              <a:ext uri="{FF2B5EF4-FFF2-40B4-BE49-F238E27FC236}">
                <a16:creationId xmlns:a16="http://schemas.microsoft.com/office/drawing/2014/main" id="{3C19540F-3383-43F4-940C-5C7A5AFF32D4}"/>
              </a:ext>
            </a:extLst>
          </xdr:cNvPr>
          <xdr:cNvSpPr/>
        </xdr:nvSpPr>
        <xdr:spPr>
          <a:xfrm>
            <a:off x="63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9" name="$B$1">
            <a:extLst>
              <a:ext uri="{FF2B5EF4-FFF2-40B4-BE49-F238E27FC236}">
                <a16:creationId xmlns:a16="http://schemas.microsoft.com/office/drawing/2014/main" id="{1C31C79E-7AFC-4CFD-8D19-E321F02FC3FB}"/>
              </a:ext>
            </a:extLst>
          </xdr:cNvPr>
          <xdr:cNvSpPr/>
        </xdr:nvSpPr>
        <xdr:spPr>
          <a:xfrm>
            <a:off x="76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0" name="$B$1">
            <a:extLst>
              <a:ext uri="{FF2B5EF4-FFF2-40B4-BE49-F238E27FC236}">
                <a16:creationId xmlns:a16="http://schemas.microsoft.com/office/drawing/2014/main" id="{B7846020-2387-4DAB-ACB0-B7C07582018C}"/>
              </a:ext>
            </a:extLst>
          </xdr:cNvPr>
          <xdr:cNvSpPr/>
        </xdr:nvSpPr>
        <xdr:spPr>
          <a:xfrm>
            <a:off x="88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1" name="$B$1">
            <a:extLst>
              <a:ext uri="{FF2B5EF4-FFF2-40B4-BE49-F238E27FC236}">
                <a16:creationId xmlns:a16="http://schemas.microsoft.com/office/drawing/2014/main" id="{84031127-127E-43A2-9508-6D072C1DB69E}"/>
              </a:ext>
            </a:extLst>
          </xdr:cNvPr>
          <xdr:cNvSpPr/>
        </xdr:nvSpPr>
        <xdr:spPr>
          <a:xfrm>
            <a:off x="1016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2" name="$B$1">
            <a:extLst>
              <a:ext uri="{FF2B5EF4-FFF2-40B4-BE49-F238E27FC236}">
                <a16:creationId xmlns:a16="http://schemas.microsoft.com/office/drawing/2014/main" id="{2D75EC47-F259-407F-9BCC-DE7CFF111690}"/>
              </a:ext>
            </a:extLst>
          </xdr:cNvPr>
          <xdr:cNvSpPr/>
        </xdr:nvSpPr>
        <xdr:spPr>
          <a:xfrm>
            <a:off x="127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3" name="$B$1">
            <a:extLst>
              <a:ext uri="{FF2B5EF4-FFF2-40B4-BE49-F238E27FC236}">
                <a16:creationId xmlns:a16="http://schemas.microsoft.com/office/drawing/2014/main" id="{D9AC994C-F1B2-463C-BEED-EF8C5FD0B83A}"/>
              </a:ext>
            </a:extLst>
          </xdr:cNvPr>
          <xdr:cNvSpPr/>
        </xdr:nvSpPr>
        <xdr:spPr>
          <a:xfrm>
            <a:off x="152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4" name="$B$1">
            <a:extLst>
              <a:ext uri="{FF2B5EF4-FFF2-40B4-BE49-F238E27FC236}">
                <a16:creationId xmlns:a16="http://schemas.microsoft.com/office/drawing/2014/main" id="{4FA7AD02-8842-4AC0-A892-5BF4EA1419AF}"/>
              </a:ext>
            </a:extLst>
          </xdr:cNvPr>
          <xdr:cNvSpPr/>
        </xdr:nvSpPr>
        <xdr:spPr>
          <a:xfrm>
            <a:off x="177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5" name="$B$1">
            <a:extLst>
              <a:ext uri="{FF2B5EF4-FFF2-40B4-BE49-F238E27FC236}">
                <a16:creationId xmlns:a16="http://schemas.microsoft.com/office/drawing/2014/main" id="{B92C25CE-EF03-4BD2-8C7F-AC41E1C5F4D8}"/>
              </a:ext>
            </a:extLst>
          </xdr:cNvPr>
          <xdr:cNvSpPr/>
        </xdr:nvSpPr>
        <xdr:spPr>
          <a:xfrm>
            <a:off x="2286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6" name="$B$1">
            <a:extLst>
              <a:ext uri="{FF2B5EF4-FFF2-40B4-BE49-F238E27FC236}">
                <a16:creationId xmlns:a16="http://schemas.microsoft.com/office/drawing/2014/main" id="{8B802BB9-D5EA-425A-9E6C-ED76B6ED111C}"/>
              </a:ext>
            </a:extLst>
          </xdr:cNvPr>
          <xdr:cNvSpPr/>
        </xdr:nvSpPr>
        <xdr:spPr>
          <a:xfrm>
            <a:off x="254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7" name="$B$1">
            <a:extLst>
              <a:ext uri="{FF2B5EF4-FFF2-40B4-BE49-F238E27FC236}">
                <a16:creationId xmlns:a16="http://schemas.microsoft.com/office/drawing/2014/main" id="{2FCACB18-00AE-4CCE-84EB-3B0D2A099BF9}"/>
              </a:ext>
            </a:extLst>
          </xdr:cNvPr>
          <xdr:cNvSpPr/>
        </xdr:nvSpPr>
        <xdr:spPr>
          <a:xfrm>
            <a:off x="292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8" name="$B$1">
            <a:extLst>
              <a:ext uri="{FF2B5EF4-FFF2-40B4-BE49-F238E27FC236}">
                <a16:creationId xmlns:a16="http://schemas.microsoft.com/office/drawing/2014/main" id="{0175E4B5-1349-405A-B9D9-C6C7CED77DD6}"/>
              </a:ext>
            </a:extLst>
          </xdr:cNvPr>
          <xdr:cNvSpPr/>
        </xdr:nvSpPr>
        <xdr:spPr>
          <a:xfrm>
            <a:off x="304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9" name="$B$1">
            <a:extLst>
              <a:ext uri="{FF2B5EF4-FFF2-40B4-BE49-F238E27FC236}">
                <a16:creationId xmlns:a16="http://schemas.microsoft.com/office/drawing/2014/main" id="{503B23B1-BE95-4B9D-ACED-DDA760E1D125}"/>
              </a:ext>
            </a:extLst>
          </xdr:cNvPr>
          <xdr:cNvSpPr/>
        </xdr:nvSpPr>
        <xdr:spPr>
          <a:xfrm>
            <a:off x="330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0" name="$B$1">
            <a:extLst>
              <a:ext uri="{FF2B5EF4-FFF2-40B4-BE49-F238E27FC236}">
                <a16:creationId xmlns:a16="http://schemas.microsoft.com/office/drawing/2014/main" id="{DADCD6E4-6E76-46F9-8903-5A0412E2C6A1}"/>
              </a:ext>
            </a:extLst>
          </xdr:cNvPr>
          <xdr:cNvSpPr/>
        </xdr:nvSpPr>
        <xdr:spPr>
          <a:xfrm>
            <a:off x="342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1" name="$B$1">
            <a:extLst>
              <a:ext uri="{FF2B5EF4-FFF2-40B4-BE49-F238E27FC236}">
                <a16:creationId xmlns:a16="http://schemas.microsoft.com/office/drawing/2014/main" id="{E14A17DC-AE54-48BE-9FAE-7029176B907B}"/>
              </a:ext>
            </a:extLst>
          </xdr:cNvPr>
          <xdr:cNvSpPr/>
        </xdr:nvSpPr>
        <xdr:spPr>
          <a:xfrm>
            <a:off x="3556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2" name="$B$1">
            <a:extLst>
              <a:ext uri="{FF2B5EF4-FFF2-40B4-BE49-F238E27FC236}">
                <a16:creationId xmlns:a16="http://schemas.microsoft.com/office/drawing/2014/main" id="{C326FC2D-CF43-43F2-8C5D-CC317FE6CC21}"/>
              </a:ext>
            </a:extLst>
          </xdr:cNvPr>
          <xdr:cNvSpPr/>
        </xdr:nvSpPr>
        <xdr:spPr>
          <a:xfrm>
            <a:off x="3683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3" name="$B$1">
            <a:extLst>
              <a:ext uri="{FF2B5EF4-FFF2-40B4-BE49-F238E27FC236}">
                <a16:creationId xmlns:a16="http://schemas.microsoft.com/office/drawing/2014/main" id="{4AF45D95-A6D9-4035-9CA6-B5316715BC21}"/>
              </a:ext>
            </a:extLst>
          </xdr:cNvPr>
          <xdr:cNvSpPr/>
        </xdr:nvSpPr>
        <xdr:spPr>
          <a:xfrm>
            <a:off x="381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4" name="$B$1">
            <a:extLst>
              <a:ext uri="{FF2B5EF4-FFF2-40B4-BE49-F238E27FC236}">
                <a16:creationId xmlns:a16="http://schemas.microsoft.com/office/drawing/2014/main" id="{64EFA61C-D426-4330-8CC8-3343E5F93C23}"/>
              </a:ext>
            </a:extLst>
          </xdr:cNvPr>
          <xdr:cNvSpPr/>
        </xdr:nvSpPr>
        <xdr:spPr>
          <a:xfrm>
            <a:off x="444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5" name="$B$1">
            <a:extLst>
              <a:ext uri="{FF2B5EF4-FFF2-40B4-BE49-F238E27FC236}">
                <a16:creationId xmlns:a16="http://schemas.microsoft.com/office/drawing/2014/main" id="{6625DFCD-C229-44DA-ABA6-99AF5DB23B38}"/>
              </a:ext>
            </a:extLst>
          </xdr:cNvPr>
          <xdr:cNvSpPr/>
        </xdr:nvSpPr>
        <xdr:spPr>
          <a:xfrm>
            <a:off x="469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6" name="$B$1">
            <a:extLst>
              <a:ext uri="{FF2B5EF4-FFF2-40B4-BE49-F238E27FC236}">
                <a16:creationId xmlns:a16="http://schemas.microsoft.com/office/drawing/2014/main" id="{2BC441DE-AF33-4A53-B000-3AAC28D548D2}"/>
              </a:ext>
            </a:extLst>
          </xdr:cNvPr>
          <xdr:cNvSpPr/>
        </xdr:nvSpPr>
        <xdr:spPr>
          <a:xfrm>
            <a:off x="4826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7" name="$B$1">
            <a:extLst>
              <a:ext uri="{FF2B5EF4-FFF2-40B4-BE49-F238E27FC236}">
                <a16:creationId xmlns:a16="http://schemas.microsoft.com/office/drawing/2014/main" id="{612A37F3-4207-41EE-A245-A3946722A241}"/>
              </a:ext>
            </a:extLst>
          </xdr:cNvPr>
          <xdr:cNvSpPr/>
        </xdr:nvSpPr>
        <xdr:spPr>
          <a:xfrm>
            <a:off x="4953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8" name="$B$1">
            <a:extLst>
              <a:ext uri="{FF2B5EF4-FFF2-40B4-BE49-F238E27FC236}">
                <a16:creationId xmlns:a16="http://schemas.microsoft.com/office/drawing/2014/main" id="{0BB008D0-1B0B-4044-AA48-395AE6E467F6}"/>
              </a:ext>
            </a:extLst>
          </xdr:cNvPr>
          <xdr:cNvSpPr/>
        </xdr:nvSpPr>
        <xdr:spPr>
          <a:xfrm>
            <a:off x="508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9" name="$B$1">
            <a:extLst>
              <a:ext uri="{FF2B5EF4-FFF2-40B4-BE49-F238E27FC236}">
                <a16:creationId xmlns:a16="http://schemas.microsoft.com/office/drawing/2014/main" id="{7EA6966E-7437-4A15-A38F-E3C70B66F262}"/>
              </a:ext>
            </a:extLst>
          </xdr:cNvPr>
          <xdr:cNvSpPr/>
        </xdr:nvSpPr>
        <xdr:spPr>
          <a:xfrm>
            <a:off x="5207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0" name="$B$1">
            <a:extLst>
              <a:ext uri="{FF2B5EF4-FFF2-40B4-BE49-F238E27FC236}">
                <a16:creationId xmlns:a16="http://schemas.microsoft.com/office/drawing/2014/main" id="{69AC5609-5EAF-4CEC-ADC0-B25B9F8AB6CC}"/>
              </a:ext>
            </a:extLst>
          </xdr:cNvPr>
          <xdr:cNvSpPr/>
        </xdr:nvSpPr>
        <xdr:spPr>
          <a:xfrm>
            <a:off x="558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1" name="$B$1">
            <a:extLst>
              <a:ext uri="{FF2B5EF4-FFF2-40B4-BE49-F238E27FC236}">
                <a16:creationId xmlns:a16="http://schemas.microsoft.com/office/drawing/2014/main" id="{58BB8027-DE5B-4121-8E03-5694FE5830FA}"/>
              </a:ext>
            </a:extLst>
          </xdr:cNvPr>
          <xdr:cNvSpPr/>
        </xdr:nvSpPr>
        <xdr:spPr>
          <a:xfrm>
            <a:off x="571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2" name="$B$1">
            <a:extLst>
              <a:ext uri="{FF2B5EF4-FFF2-40B4-BE49-F238E27FC236}">
                <a16:creationId xmlns:a16="http://schemas.microsoft.com/office/drawing/2014/main" id="{9AF858E5-CC76-498B-8DEF-32ABB1FE85C6}"/>
              </a:ext>
            </a:extLst>
          </xdr:cNvPr>
          <xdr:cNvSpPr/>
        </xdr:nvSpPr>
        <xdr:spPr>
          <a:xfrm>
            <a:off x="596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3" name="$B$1">
            <a:extLst>
              <a:ext uri="{FF2B5EF4-FFF2-40B4-BE49-F238E27FC236}">
                <a16:creationId xmlns:a16="http://schemas.microsoft.com/office/drawing/2014/main" id="{DBC9FCCA-49CC-4A8F-9544-3339DE2AAEB4}"/>
              </a:ext>
            </a:extLst>
          </xdr:cNvPr>
          <xdr:cNvSpPr/>
        </xdr:nvSpPr>
        <xdr:spPr>
          <a:xfrm>
            <a:off x="660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4" name="$B$1">
            <a:extLst>
              <a:ext uri="{FF2B5EF4-FFF2-40B4-BE49-F238E27FC236}">
                <a16:creationId xmlns:a16="http://schemas.microsoft.com/office/drawing/2014/main" id="{8B6174F8-58A0-406B-B7B7-B87798067E8B}"/>
              </a:ext>
            </a:extLst>
          </xdr:cNvPr>
          <xdr:cNvSpPr/>
        </xdr:nvSpPr>
        <xdr:spPr>
          <a:xfrm>
            <a:off x="685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5" name="$B$1">
            <a:extLst>
              <a:ext uri="{FF2B5EF4-FFF2-40B4-BE49-F238E27FC236}">
                <a16:creationId xmlns:a16="http://schemas.microsoft.com/office/drawing/2014/main" id="{077FB3C9-95FE-4AA5-ACEB-BF72D6C22E13}"/>
              </a:ext>
            </a:extLst>
          </xdr:cNvPr>
          <xdr:cNvSpPr/>
        </xdr:nvSpPr>
        <xdr:spPr>
          <a:xfrm>
            <a:off x="723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6" name="$B$1">
            <a:extLst>
              <a:ext uri="{FF2B5EF4-FFF2-40B4-BE49-F238E27FC236}">
                <a16:creationId xmlns:a16="http://schemas.microsoft.com/office/drawing/2014/main" id="{E3F63877-4670-481E-A034-7C1381F3A0DA}"/>
              </a:ext>
            </a:extLst>
          </xdr:cNvPr>
          <xdr:cNvSpPr/>
        </xdr:nvSpPr>
        <xdr:spPr>
          <a:xfrm>
            <a:off x="7366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7" name="$B$1">
            <a:extLst>
              <a:ext uri="{FF2B5EF4-FFF2-40B4-BE49-F238E27FC236}">
                <a16:creationId xmlns:a16="http://schemas.microsoft.com/office/drawing/2014/main" id="{B4C2EB8D-AFBD-4E83-A077-3ACF0ABD2B4E}"/>
              </a:ext>
            </a:extLst>
          </xdr:cNvPr>
          <xdr:cNvSpPr/>
        </xdr:nvSpPr>
        <xdr:spPr>
          <a:xfrm>
            <a:off x="800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8" name="$B$1">
            <a:extLst>
              <a:ext uri="{FF2B5EF4-FFF2-40B4-BE49-F238E27FC236}">
                <a16:creationId xmlns:a16="http://schemas.microsoft.com/office/drawing/2014/main" id="{FA887C48-B1C7-4D14-84ED-20BC17EB26AD}"/>
              </a:ext>
            </a:extLst>
          </xdr:cNvPr>
          <xdr:cNvSpPr/>
        </xdr:nvSpPr>
        <xdr:spPr>
          <a:xfrm>
            <a:off x="812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9" name="$B$1">
            <a:extLst>
              <a:ext uri="{FF2B5EF4-FFF2-40B4-BE49-F238E27FC236}">
                <a16:creationId xmlns:a16="http://schemas.microsoft.com/office/drawing/2014/main" id="{3608B88C-E1AC-4431-8D6F-A49431FA38BD}"/>
              </a:ext>
            </a:extLst>
          </xdr:cNvPr>
          <xdr:cNvSpPr/>
        </xdr:nvSpPr>
        <xdr:spPr>
          <a:xfrm>
            <a:off x="825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0" name="$B$1">
            <a:extLst>
              <a:ext uri="{FF2B5EF4-FFF2-40B4-BE49-F238E27FC236}">
                <a16:creationId xmlns:a16="http://schemas.microsoft.com/office/drawing/2014/main" id="{56A53CFA-FFF4-46EA-9D04-C4F57FBB282D}"/>
              </a:ext>
            </a:extLst>
          </xdr:cNvPr>
          <xdr:cNvSpPr/>
        </xdr:nvSpPr>
        <xdr:spPr>
          <a:xfrm>
            <a:off x="838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1" name="$B$1">
            <a:extLst>
              <a:ext uri="{FF2B5EF4-FFF2-40B4-BE49-F238E27FC236}">
                <a16:creationId xmlns:a16="http://schemas.microsoft.com/office/drawing/2014/main" id="{0D0B105C-CB2A-448A-B5FD-79DBCDF92C85}"/>
              </a:ext>
            </a:extLst>
          </xdr:cNvPr>
          <xdr:cNvSpPr/>
        </xdr:nvSpPr>
        <xdr:spPr>
          <a:xfrm>
            <a:off x="850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2" name="$B$1">
            <a:extLst>
              <a:ext uri="{FF2B5EF4-FFF2-40B4-BE49-F238E27FC236}">
                <a16:creationId xmlns:a16="http://schemas.microsoft.com/office/drawing/2014/main" id="{3F4BDC04-E874-4E06-A77E-74B5C2C00BBF}"/>
              </a:ext>
            </a:extLst>
          </xdr:cNvPr>
          <xdr:cNvSpPr/>
        </xdr:nvSpPr>
        <xdr:spPr>
          <a:xfrm>
            <a:off x="8763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3" name="$B$1">
            <a:extLst>
              <a:ext uri="{FF2B5EF4-FFF2-40B4-BE49-F238E27FC236}">
                <a16:creationId xmlns:a16="http://schemas.microsoft.com/office/drawing/2014/main" id="{01E8999E-6867-44E0-B9DF-D50FA6F2F6C9}"/>
              </a:ext>
            </a:extLst>
          </xdr:cNvPr>
          <xdr:cNvSpPr/>
        </xdr:nvSpPr>
        <xdr:spPr>
          <a:xfrm>
            <a:off x="889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4" name="$B$1">
            <a:extLst>
              <a:ext uri="{FF2B5EF4-FFF2-40B4-BE49-F238E27FC236}">
                <a16:creationId xmlns:a16="http://schemas.microsoft.com/office/drawing/2014/main" id="{B3731BDE-C525-4520-9BED-8E58D2F1277C}"/>
              </a:ext>
            </a:extLst>
          </xdr:cNvPr>
          <xdr:cNvSpPr/>
        </xdr:nvSpPr>
        <xdr:spPr>
          <a:xfrm>
            <a:off x="9017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5" name="$B$1">
            <a:extLst>
              <a:ext uri="{FF2B5EF4-FFF2-40B4-BE49-F238E27FC236}">
                <a16:creationId xmlns:a16="http://schemas.microsoft.com/office/drawing/2014/main" id="{0380FFB7-C881-4951-9612-09BF88D85C93}"/>
              </a:ext>
            </a:extLst>
          </xdr:cNvPr>
          <xdr:cNvSpPr/>
        </xdr:nvSpPr>
        <xdr:spPr>
          <a:xfrm>
            <a:off x="914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6" name="$B$1">
            <a:extLst>
              <a:ext uri="{FF2B5EF4-FFF2-40B4-BE49-F238E27FC236}">
                <a16:creationId xmlns:a16="http://schemas.microsoft.com/office/drawing/2014/main" id="{E6EF4CEE-5B3E-4F2C-9FA4-C401839F9DD2}"/>
              </a:ext>
            </a:extLst>
          </xdr:cNvPr>
          <xdr:cNvSpPr/>
        </xdr:nvSpPr>
        <xdr:spPr>
          <a:xfrm>
            <a:off x="927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7" name="$B$1">
            <a:extLst>
              <a:ext uri="{FF2B5EF4-FFF2-40B4-BE49-F238E27FC236}">
                <a16:creationId xmlns:a16="http://schemas.microsoft.com/office/drawing/2014/main" id="{030E5337-2886-41CA-92D1-00009D554F00}"/>
              </a:ext>
            </a:extLst>
          </xdr:cNvPr>
          <xdr:cNvSpPr/>
        </xdr:nvSpPr>
        <xdr:spPr>
          <a:xfrm>
            <a:off x="939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8" name="$B$1">
            <a:extLst>
              <a:ext uri="{FF2B5EF4-FFF2-40B4-BE49-F238E27FC236}">
                <a16:creationId xmlns:a16="http://schemas.microsoft.com/office/drawing/2014/main" id="{FF04CAA5-F4A6-4CCD-9933-BF528A79FC31}"/>
              </a:ext>
            </a:extLst>
          </xdr:cNvPr>
          <xdr:cNvSpPr/>
        </xdr:nvSpPr>
        <xdr:spPr>
          <a:xfrm>
            <a:off x="952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9" name="$B$1">
            <a:extLst>
              <a:ext uri="{FF2B5EF4-FFF2-40B4-BE49-F238E27FC236}">
                <a16:creationId xmlns:a16="http://schemas.microsoft.com/office/drawing/2014/main" id="{9E06FD8B-492A-4D93-8188-61B1D847C970}"/>
              </a:ext>
            </a:extLst>
          </xdr:cNvPr>
          <xdr:cNvSpPr/>
        </xdr:nvSpPr>
        <xdr:spPr>
          <a:xfrm>
            <a:off x="977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0" name="$B$1">
            <a:extLst>
              <a:ext uri="{FF2B5EF4-FFF2-40B4-BE49-F238E27FC236}">
                <a16:creationId xmlns:a16="http://schemas.microsoft.com/office/drawing/2014/main" id="{2C19408B-17FA-40F9-9438-AD024DCBBC5D}"/>
              </a:ext>
            </a:extLst>
          </xdr:cNvPr>
          <xdr:cNvSpPr/>
        </xdr:nvSpPr>
        <xdr:spPr>
          <a:xfrm>
            <a:off x="10287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1" name="$B$1">
            <a:extLst>
              <a:ext uri="{FF2B5EF4-FFF2-40B4-BE49-F238E27FC236}">
                <a16:creationId xmlns:a16="http://schemas.microsoft.com/office/drawing/2014/main" id="{0BD8FEF7-B930-4693-BF15-38F0395DB126}"/>
              </a:ext>
            </a:extLst>
          </xdr:cNvPr>
          <xdr:cNvSpPr/>
        </xdr:nvSpPr>
        <xdr:spPr>
          <a:xfrm>
            <a:off x="1054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2" name="$B$1">
            <a:extLst>
              <a:ext uri="{FF2B5EF4-FFF2-40B4-BE49-F238E27FC236}">
                <a16:creationId xmlns:a16="http://schemas.microsoft.com/office/drawing/2014/main" id="{9C157946-E44E-40F5-929E-73588D184EF9}"/>
              </a:ext>
            </a:extLst>
          </xdr:cNvPr>
          <xdr:cNvSpPr/>
        </xdr:nvSpPr>
        <xdr:spPr>
          <a:xfrm>
            <a:off x="1092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3" name="$B$1">
            <a:extLst>
              <a:ext uri="{FF2B5EF4-FFF2-40B4-BE49-F238E27FC236}">
                <a16:creationId xmlns:a16="http://schemas.microsoft.com/office/drawing/2014/main" id="{2BC0C241-C0A4-46CD-A46B-B06DC688A5DF}"/>
              </a:ext>
            </a:extLst>
          </xdr:cNvPr>
          <xdr:cNvSpPr/>
        </xdr:nvSpPr>
        <xdr:spPr>
          <a:xfrm>
            <a:off x="127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4" name="$B$1">
            <a:extLst>
              <a:ext uri="{FF2B5EF4-FFF2-40B4-BE49-F238E27FC236}">
                <a16:creationId xmlns:a16="http://schemas.microsoft.com/office/drawing/2014/main" id="{377FFFBD-622B-4038-9CC7-2A5237AB2B65}"/>
              </a:ext>
            </a:extLst>
          </xdr:cNvPr>
          <xdr:cNvSpPr/>
        </xdr:nvSpPr>
        <xdr:spPr>
          <a:xfrm>
            <a:off x="25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5" name="$B$1">
            <a:extLst>
              <a:ext uri="{FF2B5EF4-FFF2-40B4-BE49-F238E27FC236}">
                <a16:creationId xmlns:a16="http://schemas.microsoft.com/office/drawing/2014/main" id="{CE3917CC-79DA-4898-98A2-4619585FCE89}"/>
              </a:ext>
            </a:extLst>
          </xdr:cNvPr>
          <xdr:cNvSpPr/>
        </xdr:nvSpPr>
        <xdr:spPr>
          <a:xfrm>
            <a:off x="38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6" name="$B$1">
            <a:extLst>
              <a:ext uri="{FF2B5EF4-FFF2-40B4-BE49-F238E27FC236}">
                <a16:creationId xmlns:a16="http://schemas.microsoft.com/office/drawing/2014/main" id="{15BBD1FA-DB59-49A8-9C91-349C177E7DF0}"/>
              </a:ext>
            </a:extLst>
          </xdr:cNvPr>
          <xdr:cNvSpPr/>
        </xdr:nvSpPr>
        <xdr:spPr>
          <a:xfrm>
            <a:off x="50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7" name="$B$1">
            <a:extLst>
              <a:ext uri="{FF2B5EF4-FFF2-40B4-BE49-F238E27FC236}">
                <a16:creationId xmlns:a16="http://schemas.microsoft.com/office/drawing/2014/main" id="{D0C52C19-079F-48C3-891E-34FD35B5B05A}"/>
              </a:ext>
            </a:extLst>
          </xdr:cNvPr>
          <xdr:cNvSpPr/>
        </xdr:nvSpPr>
        <xdr:spPr>
          <a:xfrm>
            <a:off x="635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8" name="$B$1">
            <a:extLst>
              <a:ext uri="{FF2B5EF4-FFF2-40B4-BE49-F238E27FC236}">
                <a16:creationId xmlns:a16="http://schemas.microsoft.com/office/drawing/2014/main" id="{4C130FA7-1156-4650-9A69-4E23C012F2C7}"/>
              </a:ext>
            </a:extLst>
          </xdr:cNvPr>
          <xdr:cNvSpPr/>
        </xdr:nvSpPr>
        <xdr:spPr>
          <a:xfrm>
            <a:off x="762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9" name="$B$1">
            <a:extLst>
              <a:ext uri="{FF2B5EF4-FFF2-40B4-BE49-F238E27FC236}">
                <a16:creationId xmlns:a16="http://schemas.microsoft.com/office/drawing/2014/main" id="{4A3D1ECE-871A-432D-9D1F-C57FCAA68123}"/>
              </a:ext>
            </a:extLst>
          </xdr:cNvPr>
          <xdr:cNvSpPr/>
        </xdr:nvSpPr>
        <xdr:spPr>
          <a:xfrm>
            <a:off x="889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0" name="$B$1">
            <a:extLst>
              <a:ext uri="{FF2B5EF4-FFF2-40B4-BE49-F238E27FC236}">
                <a16:creationId xmlns:a16="http://schemas.microsoft.com/office/drawing/2014/main" id="{30A624F7-4680-461F-8DAB-42E4EAE0B04F}"/>
              </a:ext>
            </a:extLst>
          </xdr:cNvPr>
          <xdr:cNvSpPr/>
        </xdr:nvSpPr>
        <xdr:spPr>
          <a:xfrm>
            <a:off x="101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1" name="$B$1">
            <a:extLst>
              <a:ext uri="{FF2B5EF4-FFF2-40B4-BE49-F238E27FC236}">
                <a16:creationId xmlns:a16="http://schemas.microsoft.com/office/drawing/2014/main" id="{82F28BA5-F141-417A-81C8-8DE302F36DD1}"/>
              </a:ext>
            </a:extLst>
          </xdr:cNvPr>
          <xdr:cNvSpPr/>
        </xdr:nvSpPr>
        <xdr:spPr>
          <a:xfrm>
            <a:off x="1270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2" name="$B$1">
            <a:extLst>
              <a:ext uri="{FF2B5EF4-FFF2-40B4-BE49-F238E27FC236}">
                <a16:creationId xmlns:a16="http://schemas.microsoft.com/office/drawing/2014/main" id="{9BBBCEF6-5925-4BE9-95C4-86FE53DF81E8}"/>
              </a:ext>
            </a:extLst>
          </xdr:cNvPr>
          <xdr:cNvSpPr/>
        </xdr:nvSpPr>
        <xdr:spPr>
          <a:xfrm>
            <a:off x="152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3" name="$B$1">
            <a:extLst>
              <a:ext uri="{FF2B5EF4-FFF2-40B4-BE49-F238E27FC236}">
                <a16:creationId xmlns:a16="http://schemas.microsoft.com/office/drawing/2014/main" id="{8F5F2B88-E3DC-434B-8D57-2FE706AF244B}"/>
              </a:ext>
            </a:extLst>
          </xdr:cNvPr>
          <xdr:cNvSpPr/>
        </xdr:nvSpPr>
        <xdr:spPr>
          <a:xfrm>
            <a:off x="177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4" name="$B$1">
            <a:extLst>
              <a:ext uri="{FF2B5EF4-FFF2-40B4-BE49-F238E27FC236}">
                <a16:creationId xmlns:a16="http://schemas.microsoft.com/office/drawing/2014/main" id="{2EAE5480-14C0-4FC1-84BD-08756A2364E6}"/>
              </a:ext>
            </a:extLst>
          </xdr:cNvPr>
          <xdr:cNvSpPr/>
        </xdr:nvSpPr>
        <xdr:spPr>
          <a:xfrm>
            <a:off x="228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5" name="$B$1">
            <a:extLst>
              <a:ext uri="{FF2B5EF4-FFF2-40B4-BE49-F238E27FC236}">
                <a16:creationId xmlns:a16="http://schemas.microsoft.com/office/drawing/2014/main" id="{7C42B901-0889-4DB2-BE02-31C814219E73}"/>
              </a:ext>
            </a:extLst>
          </xdr:cNvPr>
          <xdr:cNvSpPr/>
        </xdr:nvSpPr>
        <xdr:spPr>
          <a:xfrm>
            <a:off x="2540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6" name="$B$1">
            <a:extLst>
              <a:ext uri="{FF2B5EF4-FFF2-40B4-BE49-F238E27FC236}">
                <a16:creationId xmlns:a16="http://schemas.microsoft.com/office/drawing/2014/main" id="{0F250B6F-A18A-4F82-B9C2-4D4BEB14261E}"/>
              </a:ext>
            </a:extLst>
          </xdr:cNvPr>
          <xdr:cNvSpPr/>
        </xdr:nvSpPr>
        <xdr:spPr>
          <a:xfrm>
            <a:off x="304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7" name="$B$1">
            <a:extLst>
              <a:ext uri="{FF2B5EF4-FFF2-40B4-BE49-F238E27FC236}">
                <a16:creationId xmlns:a16="http://schemas.microsoft.com/office/drawing/2014/main" id="{378B09EE-BDFC-4C93-BE5E-63F5ACE9DCE1}"/>
              </a:ext>
            </a:extLst>
          </xdr:cNvPr>
          <xdr:cNvSpPr/>
        </xdr:nvSpPr>
        <xdr:spPr>
          <a:xfrm>
            <a:off x="3175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8" name="$B$1">
            <a:extLst>
              <a:ext uri="{FF2B5EF4-FFF2-40B4-BE49-F238E27FC236}">
                <a16:creationId xmlns:a16="http://schemas.microsoft.com/office/drawing/2014/main" id="{D5E0EA0D-1BF0-4BA6-BEB1-BE2D635AA848}"/>
              </a:ext>
            </a:extLst>
          </xdr:cNvPr>
          <xdr:cNvSpPr/>
        </xdr:nvSpPr>
        <xdr:spPr>
          <a:xfrm>
            <a:off x="3302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9" name="$B$1">
            <a:extLst>
              <a:ext uri="{FF2B5EF4-FFF2-40B4-BE49-F238E27FC236}">
                <a16:creationId xmlns:a16="http://schemas.microsoft.com/office/drawing/2014/main" id="{4962035D-773F-4919-AEAA-E9218DA0E831}"/>
              </a:ext>
            </a:extLst>
          </xdr:cNvPr>
          <xdr:cNvSpPr/>
        </xdr:nvSpPr>
        <xdr:spPr>
          <a:xfrm>
            <a:off x="355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0" name="$B$1">
            <a:extLst>
              <a:ext uri="{FF2B5EF4-FFF2-40B4-BE49-F238E27FC236}">
                <a16:creationId xmlns:a16="http://schemas.microsoft.com/office/drawing/2014/main" id="{83EBEE8B-4C14-4A43-B70E-6974E695A596}"/>
              </a:ext>
            </a:extLst>
          </xdr:cNvPr>
          <xdr:cNvSpPr/>
        </xdr:nvSpPr>
        <xdr:spPr>
          <a:xfrm>
            <a:off x="3683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1" name="$B$1">
            <a:extLst>
              <a:ext uri="{FF2B5EF4-FFF2-40B4-BE49-F238E27FC236}">
                <a16:creationId xmlns:a16="http://schemas.microsoft.com/office/drawing/2014/main" id="{ED24DCF5-A034-4029-873F-C00485CDC5F0}"/>
              </a:ext>
            </a:extLst>
          </xdr:cNvPr>
          <xdr:cNvSpPr/>
        </xdr:nvSpPr>
        <xdr:spPr>
          <a:xfrm>
            <a:off x="3810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2" name="$B$1">
            <a:extLst>
              <a:ext uri="{FF2B5EF4-FFF2-40B4-BE49-F238E27FC236}">
                <a16:creationId xmlns:a16="http://schemas.microsoft.com/office/drawing/2014/main" id="{C8C9C776-F2F6-4C78-A2DD-58F2D68EBB65}"/>
              </a:ext>
            </a:extLst>
          </xdr:cNvPr>
          <xdr:cNvSpPr/>
        </xdr:nvSpPr>
        <xdr:spPr>
          <a:xfrm>
            <a:off x="4445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3" name="$B$1">
            <a:extLst>
              <a:ext uri="{FF2B5EF4-FFF2-40B4-BE49-F238E27FC236}">
                <a16:creationId xmlns:a16="http://schemas.microsoft.com/office/drawing/2014/main" id="{41684EFA-622F-4D74-93A5-17CD71A7DD2D}"/>
              </a:ext>
            </a:extLst>
          </xdr:cNvPr>
          <xdr:cNvSpPr/>
        </xdr:nvSpPr>
        <xdr:spPr>
          <a:xfrm>
            <a:off x="4699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4" name="$B$1">
            <a:extLst>
              <a:ext uri="{FF2B5EF4-FFF2-40B4-BE49-F238E27FC236}">
                <a16:creationId xmlns:a16="http://schemas.microsoft.com/office/drawing/2014/main" id="{4568DBE4-7436-49DC-B903-8E75D17EF826}"/>
              </a:ext>
            </a:extLst>
          </xdr:cNvPr>
          <xdr:cNvSpPr/>
        </xdr:nvSpPr>
        <xdr:spPr>
          <a:xfrm>
            <a:off x="482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5" name="$B$1">
            <a:extLst>
              <a:ext uri="{FF2B5EF4-FFF2-40B4-BE49-F238E27FC236}">
                <a16:creationId xmlns:a16="http://schemas.microsoft.com/office/drawing/2014/main" id="{85EB077E-689F-40F1-93BA-7CCACD0F8171}"/>
              </a:ext>
            </a:extLst>
          </xdr:cNvPr>
          <xdr:cNvSpPr/>
        </xdr:nvSpPr>
        <xdr:spPr>
          <a:xfrm>
            <a:off x="4953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6" name="$B$1">
            <a:extLst>
              <a:ext uri="{FF2B5EF4-FFF2-40B4-BE49-F238E27FC236}">
                <a16:creationId xmlns:a16="http://schemas.microsoft.com/office/drawing/2014/main" id="{32508FAC-F47A-4411-B9FC-F5F7F87C2E8F}"/>
              </a:ext>
            </a:extLst>
          </xdr:cNvPr>
          <xdr:cNvSpPr/>
        </xdr:nvSpPr>
        <xdr:spPr>
          <a:xfrm>
            <a:off x="5207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7" name="$B$1">
            <a:extLst>
              <a:ext uri="{FF2B5EF4-FFF2-40B4-BE49-F238E27FC236}">
                <a16:creationId xmlns:a16="http://schemas.microsoft.com/office/drawing/2014/main" id="{19EA7668-8CCF-479D-A686-861F05D0E3FB}"/>
              </a:ext>
            </a:extLst>
          </xdr:cNvPr>
          <xdr:cNvSpPr/>
        </xdr:nvSpPr>
        <xdr:spPr>
          <a:xfrm>
            <a:off x="533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8" name="$B$1">
            <a:extLst>
              <a:ext uri="{FF2B5EF4-FFF2-40B4-BE49-F238E27FC236}">
                <a16:creationId xmlns:a16="http://schemas.microsoft.com/office/drawing/2014/main" id="{F5F6AC79-FD71-4B27-9B6D-6E04B529312B}"/>
              </a:ext>
            </a:extLst>
          </xdr:cNvPr>
          <xdr:cNvSpPr/>
        </xdr:nvSpPr>
        <xdr:spPr>
          <a:xfrm>
            <a:off x="546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9" name="$B$1">
            <a:extLst>
              <a:ext uri="{FF2B5EF4-FFF2-40B4-BE49-F238E27FC236}">
                <a16:creationId xmlns:a16="http://schemas.microsoft.com/office/drawing/2014/main" id="{6128738C-D520-47C7-B6F3-495178F1A74B}"/>
              </a:ext>
            </a:extLst>
          </xdr:cNvPr>
          <xdr:cNvSpPr/>
        </xdr:nvSpPr>
        <xdr:spPr>
          <a:xfrm>
            <a:off x="5842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0" name="$B$1">
            <a:extLst>
              <a:ext uri="{FF2B5EF4-FFF2-40B4-BE49-F238E27FC236}">
                <a16:creationId xmlns:a16="http://schemas.microsoft.com/office/drawing/2014/main" id="{B917ED95-341B-44B9-84CC-1DBF63517A01}"/>
              </a:ext>
            </a:extLst>
          </xdr:cNvPr>
          <xdr:cNvSpPr/>
        </xdr:nvSpPr>
        <xdr:spPr>
          <a:xfrm>
            <a:off x="660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1" name="$B$1">
            <a:extLst>
              <a:ext uri="{FF2B5EF4-FFF2-40B4-BE49-F238E27FC236}">
                <a16:creationId xmlns:a16="http://schemas.microsoft.com/office/drawing/2014/main" id="{61670011-956C-4C2D-8D8C-B71C4FCDF40F}"/>
              </a:ext>
            </a:extLst>
          </xdr:cNvPr>
          <xdr:cNvSpPr/>
        </xdr:nvSpPr>
        <xdr:spPr>
          <a:xfrm>
            <a:off x="685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2" name="$B$1">
            <a:extLst>
              <a:ext uri="{FF2B5EF4-FFF2-40B4-BE49-F238E27FC236}">
                <a16:creationId xmlns:a16="http://schemas.microsoft.com/office/drawing/2014/main" id="{0CE693A2-A490-43A8-AD1B-DED2B427C803}"/>
              </a:ext>
            </a:extLst>
          </xdr:cNvPr>
          <xdr:cNvSpPr/>
        </xdr:nvSpPr>
        <xdr:spPr>
          <a:xfrm>
            <a:off x="736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3" name="$B$1">
            <a:extLst>
              <a:ext uri="{FF2B5EF4-FFF2-40B4-BE49-F238E27FC236}">
                <a16:creationId xmlns:a16="http://schemas.microsoft.com/office/drawing/2014/main" id="{4663DBB0-6CF9-4362-BE22-6E01B558C110}"/>
              </a:ext>
            </a:extLst>
          </xdr:cNvPr>
          <xdr:cNvSpPr/>
        </xdr:nvSpPr>
        <xdr:spPr>
          <a:xfrm>
            <a:off x="7493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4" name="$B$1">
            <a:extLst>
              <a:ext uri="{FF2B5EF4-FFF2-40B4-BE49-F238E27FC236}">
                <a16:creationId xmlns:a16="http://schemas.microsoft.com/office/drawing/2014/main" id="{413A688E-AE13-4ED1-9BD0-03C9296BBEB5}"/>
              </a:ext>
            </a:extLst>
          </xdr:cNvPr>
          <xdr:cNvSpPr/>
        </xdr:nvSpPr>
        <xdr:spPr>
          <a:xfrm>
            <a:off x="800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5" name="$B$1">
            <a:extLst>
              <a:ext uri="{FF2B5EF4-FFF2-40B4-BE49-F238E27FC236}">
                <a16:creationId xmlns:a16="http://schemas.microsoft.com/office/drawing/2014/main" id="{5299669D-0ADE-4BAA-AF6F-82594E26A21B}"/>
              </a:ext>
            </a:extLst>
          </xdr:cNvPr>
          <xdr:cNvSpPr/>
        </xdr:nvSpPr>
        <xdr:spPr>
          <a:xfrm>
            <a:off x="812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6" name="$B$1">
            <a:extLst>
              <a:ext uri="{FF2B5EF4-FFF2-40B4-BE49-F238E27FC236}">
                <a16:creationId xmlns:a16="http://schemas.microsoft.com/office/drawing/2014/main" id="{56C7768E-74D9-4966-90CD-1C9EDE7C5282}"/>
              </a:ext>
            </a:extLst>
          </xdr:cNvPr>
          <xdr:cNvSpPr/>
        </xdr:nvSpPr>
        <xdr:spPr>
          <a:xfrm>
            <a:off x="8763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7" name="$B$1">
            <a:extLst>
              <a:ext uri="{FF2B5EF4-FFF2-40B4-BE49-F238E27FC236}">
                <a16:creationId xmlns:a16="http://schemas.microsoft.com/office/drawing/2014/main" id="{89CF91F7-1A80-45BD-A932-99E03B01A8DA}"/>
              </a:ext>
            </a:extLst>
          </xdr:cNvPr>
          <xdr:cNvSpPr/>
        </xdr:nvSpPr>
        <xdr:spPr>
          <a:xfrm>
            <a:off x="8890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8" name="$B$1">
            <a:extLst>
              <a:ext uri="{FF2B5EF4-FFF2-40B4-BE49-F238E27FC236}">
                <a16:creationId xmlns:a16="http://schemas.microsoft.com/office/drawing/2014/main" id="{96420697-EB51-45A9-B56D-C8FD72A36060}"/>
              </a:ext>
            </a:extLst>
          </xdr:cNvPr>
          <xdr:cNvSpPr/>
        </xdr:nvSpPr>
        <xdr:spPr>
          <a:xfrm>
            <a:off x="9017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9" name="$B$1">
            <a:extLst>
              <a:ext uri="{FF2B5EF4-FFF2-40B4-BE49-F238E27FC236}">
                <a16:creationId xmlns:a16="http://schemas.microsoft.com/office/drawing/2014/main" id="{B627538E-B085-46BD-BA38-6F8968FCCF55}"/>
              </a:ext>
            </a:extLst>
          </xdr:cNvPr>
          <xdr:cNvSpPr/>
        </xdr:nvSpPr>
        <xdr:spPr>
          <a:xfrm>
            <a:off x="914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0" name="$B$1">
            <a:extLst>
              <a:ext uri="{FF2B5EF4-FFF2-40B4-BE49-F238E27FC236}">
                <a16:creationId xmlns:a16="http://schemas.microsoft.com/office/drawing/2014/main" id="{77150F12-3384-4B70-9B4D-EF018A1ABD2A}"/>
              </a:ext>
            </a:extLst>
          </xdr:cNvPr>
          <xdr:cNvSpPr/>
        </xdr:nvSpPr>
        <xdr:spPr>
          <a:xfrm>
            <a:off x="927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1" name="$B$1">
            <a:extLst>
              <a:ext uri="{FF2B5EF4-FFF2-40B4-BE49-F238E27FC236}">
                <a16:creationId xmlns:a16="http://schemas.microsoft.com/office/drawing/2014/main" id="{48C614AF-3DCA-40BE-94A7-9EB6A844CE13}"/>
              </a:ext>
            </a:extLst>
          </xdr:cNvPr>
          <xdr:cNvSpPr/>
        </xdr:nvSpPr>
        <xdr:spPr>
          <a:xfrm>
            <a:off x="939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2" name="$B$1">
            <a:extLst>
              <a:ext uri="{FF2B5EF4-FFF2-40B4-BE49-F238E27FC236}">
                <a16:creationId xmlns:a16="http://schemas.microsoft.com/office/drawing/2014/main" id="{BF365ED2-070E-4A50-8193-12D8B90C33C3}"/>
              </a:ext>
            </a:extLst>
          </xdr:cNvPr>
          <xdr:cNvSpPr/>
        </xdr:nvSpPr>
        <xdr:spPr>
          <a:xfrm>
            <a:off x="9525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3" name="$B$1">
            <a:extLst>
              <a:ext uri="{FF2B5EF4-FFF2-40B4-BE49-F238E27FC236}">
                <a16:creationId xmlns:a16="http://schemas.microsoft.com/office/drawing/2014/main" id="{1A6BDBBA-44B0-4536-9DF4-92262195E34C}"/>
              </a:ext>
            </a:extLst>
          </xdr:cNvPr>
          <xdr:cNvSpPr/>
        </xdr:nvSpPr>
        <xdr:spPr>
          <a:xfrm>
            <a:off x="9779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4" name="$B$1">
            <a:extLst>
              <a:ext uri="{FF2B5EF4-FFF2-40B4-BE49-F238E27FC236}">
                <a16:creationId xmlns:a16="http://schemas.microsoft.com/office/drawing/2014/main" id="{E1BE23C1-F338-4DDF-A676-995C095C8A49}"/>
              </a:ext>
            </a:extLst>
          </xdr:cNvPr>
          <xdr:cNvSpPr/>
        </xdr:nvSpPr>
        <xdr:spPr>
          <a:xfrm>
            <a:off x="10287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5" name="$B$1">
            <a:extLst>
              <a:ext uri="{FF2B5EF4-FFF2-40B4-BE49-F238E27FC236}">
                <a16:creationId xmlns:a16="http://schemas.microsoft.com/office/drawing/2014/main" id="{0631FBAE-F399-46B7-B1CA-6237B0D5F8C2}"/>
              </a:ext>
            </a:extLst>
          </xdr:cNvPr>
          <xdr:cNvSpPr/>
        </xdr:nvSpPr>
        <xdr:spPr>
          <a:xfrm>
            <a:off x="1054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6" name="$B$1">
            <a:extLst>
              <a:ext uri="{FF2B5EF4-FFF2-40B4-BE49-F238E27FC236}">
                <a16:creationId xmlns:a16="http://schemas.microsoft.com/office/drawing/2014/main" id="{4B39B468-26F6-4598-A37A-1E89F731BCE2}"/>
              </a:ext>
            </a:extLst>
          </xdr:cNvPr>
          <xdr:cNvSpPr/>
        </xdr:nvSpPr>
        <xdr:spPr>
          <a:xfrm>
            <a:off x="10922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7" name="$B$1">
            <a:extLst>
              <a:ext uri="{FF2B5EF4-FFF2-40B4-BE49-F238E27FC236}">
                <a16:creationId xmlns:a16="http://schemas.microsoft.com/office/drawing/2014/main" id="{7D69E513-109F-48FD-9E44-5434E3E1E1ED}"/>
              </a:ext>
            </a:extLst>
          </xdr:cNvPr>
          <xdr:cNvSpPr/>
        </xdr:nvSpPr>
        <xdr:spPr>
          <a:xfrm>
            <a:off x="12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8" name="$B$1">
            <a:extLst>
              <a:ext uri="{FF2B5EF4-FFF2-40B4-BE49-F238E27FC236}">
                <a16:creationId xmlns:a16="http://schemas.microsoft.com/office/drawing/2014/main" id="{C5E69CDE-3E7B-47C6-BF76-0E8A100138EA}"/>
              </a:ext>
            </a:extLst>
          </xdr:cNvPr>
          <xdr:cNvSpPr/>
        </xdr:nvSpPr>
        <xdr:spPr>
          <a:xfrm>
            <a:off x="25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9" name="$B$1">
            <a:extLst>
              <a:ext uri="{FF2B5EF4-FFF2-40B4-BE49-F238E27FC236}">
                <a16:creationId xmlns:a16="http://schemas.microsoft.com/office/drawing/2014/main" id="{0089F10A-060C-424C-8DAC-10C8CD01DFE3}"/>
              </a:ext>
            </a:extLst>
          </xdr:cNvPr>
          <xdr:cNvSpPr/>
        </xdr:nvSpPr>
        <xdr:spPr>
          <a:xfrm>
            <a:off x="381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0" name="$B$1">
            <a:extLst>
              <a:ext uri="{FF2B5EF4-FFF2-40B4-BE49-F238E27FC236}">
                <a16:creationId xmlns:a16="http://schemas.microsoft.com/office/drawing/2014/main" id="{901219AE-2683-4C0C-907B-C9435B1A18B2}"/>
              </a:ext>
            </a:extLst>
          </xdr:cNvPr>
          <xdr:cNvSpPr/>
        </xdr:nvSpPr>
        <xdr:spPr>
          <a:xfrm>
            <a:off x="50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1" name="$B$1">
            <a:extLst>
              <a:ext uri="{FF2B5EF4-FFF2-40B4-BE49-F238E27FC236}">
                <a16:creationId xmlns:a16="http://schemas.microsoft.com/office/drawing/2014/main" id="{C90C196B-5217-4104-9A83-33F375A25904}"/>
              </a:ext>
            </a:extLst>
          </xdr:cNvPr>
          <xdr:cNvSpPr/>
        </xdr:nvSpPr>
        <xdr:spPr>
          <a:xfrm>
            <a:off x="63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2" name="$B$1">
            <a:extLst>
              <a:ext uri="{FF2B5EF4-FFF2-40B4-BE49-F238E27FC236}">
                <a16:creationId xmlns:a16="http://schemas.microsoft.com/office/drawing/2014/main" id="{73FB472B-1EED-4B95-A0AF-CF8A57225205}"/>
              </a:ext>
            </a:extLst>
          </xdr:cNvPr>
          <xdr:cNvSpPr/>
        </xdr:nvSpPr>
        <xdr:spPr>
          <a:xfrm>
            <a:off x="762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3" name="$B$1">
            <a:extLst>
              <a:ext uri="{FF2B5EF4-FFF2-40B4-BE49-F238E27FC236}">
                <a16:creationId xmlns:a16="http://schemas.microsoft.com/office/drawing/2014/main" id="{77457ABA-FB70-4DE8-9EB9-20D8D35E2CC3}"/>
              </a:ext>
            </a:extLst>
          </xdr:cNvPr>
          <xdr:cNvSpPr/>
        </xdr:nvSpPr>
        <xdr:spPr>
          <a:xfrm>
            <a:off x="889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4" name="$B$1">
            <a:extLst>
              <a:ext uri="{FF2B5EF4-FFF2-40B4-BE49-F238E27FC236}">
                <a16:creationId xmlns:a16="http://schemas.microsoft.com/office/drawing/2014/main" id="{49C1F3EA-C3A0-4EB5-B6EC-A9FE2473FEDF}"/>
              </a:ext>
            </a:extLst>
          </xdr:cNvPr>
          <xdr:cNvSpPr/>
        </xdr:nvSpPr>
        <xdr:spPr>
          <a:xfrm>
            <a:off x="1016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5" name="$B$1">
            <a:extLst>
              <a:ext uri="{FF2B5EF4-FFF2-40B4-BE49-F238E27FC236}">
                <a16:creationId xmlns:a16="http://schemas.microsoft.com/office/drawing/2014/main" id="{C816FD54-E60E-4BB1-B69F-FD7AF6856632}"/>
              </a:ext>
            </a:extLst>
          </xdr:cNvPr>
          <xdr:cNvSpPr/>
        </xdr:nvSpPr>
        <xdr:spPr>
          <a:xfrm>
            <a:off x="127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6" name="$B$1">
            <a:extLst>
              <a:ext uri="{FF2B5EF4-FFF2-40B4-BE49-F238E27FC236}">
                <a16:creationId xmlns:a16="http://schemas.microsoft.com/office/drawing/2014/main" id="{EE729BB1-7536-49C8-AC7B-A4A2135BF8DC}"/>
              </a:ext>
            </a:extLst>
          </xdr:cNvPr>
          <xdr:cNvSpPr/>
        </xdr:nvSpPr>
        <xdr:spPr>
          <a:xfrm>
            <a:off x="152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7" name="$B$1">
            <a:extLst>
              <a:ext uri="{FF2B5EF4-FFF2-40B4-BE49-F238E27FC236}">
                <a16:creationId xmlns:a16="http://schemas.microsoft.com/office/drawing/2014/main" id="{9BFE8FDC-499A-4351-8FF7-F32199D86D04}"/>
              </a:ext>
            </a:extLst>
          </xdr:cNvPr>
          <xdr:cNvSpPr/>
        </xdr:nvSpPr>
        <xdr:spPr>
          <a:xfrm>
            <a:off x="177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8" name="$B$1">
            <a:extLst>
              <a:ext uri="{FF2B5EF4-FFF2-40B4-BE49-F238E27FC236}">
                <a16:creationId xmlns:a16="http://schemas.microsoft.com/office/drawing/2014/main" id="{109BA99A-B24D-4B02-AE84-E9401601CBF5}"/>
              </a:ext>
            </a:extLst>
          </xdr:cNvPr>
          <xdr:cNvSpPr/>
        </xdr:nvSpPr>
        <xdr:spPr>
          <a:xfrm>
            <a:off x="2286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9" name="$B$1">
            <a:extLst>
              <a:ext uri="{FF2B5EF4-FFF2-40B4-BE49-F238E27FC236}">
                <a16:creationId xmlns:a16="http://schemas.microsoft.com/office/drawing/2014/main" id="{DB8D3F44-56DA-4375-BB38-5C0F73E7E331}"/>
              </a:ext>
            </a:extLst>
          </xdr:cNvPr>
          <xdr:cNvSpPr/>
        </xdr:nvSpPr>
        <xdr:spPr>
          <a:xfrm>
            <a:off x="2413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0" name="$B$1">
            <a:extLst>
              <a:ext uri="{FF2B5EF4-FFF2-40B4-BE49-F238E27FC236}">
                <a16:creationId xmlns:a16="http://schemas.microsoft.com/office/drawing/2014/main" id="{6845F51F-614B-4B85-B529-72293A060279}"/>
              </a:ext>
            </a:extLst>
          </xdr:cNvPr>
          <xdr:cNvSpPr/>
        </xdr:nvSpPr>
        <xdr:spPr>
          <a:xfrm>
            <a:off x="254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1" name="$B$1">
            <a:extLst>
              <a:ext uri="{FF2B5EF4-FFF2-40B4-BE49-F238E27FC236}">
                <a16:creationId xmlns:a16="http://schemas.microsoft.com/office/drawing/2014/main" id="{136FA49E-2AC2-467A-9668-4E339A718B84}"/>
              </a:ext>
            </a:extLst>
          </xdr:cNvPr>
          <xdr:cNvSpPr/>
        </xdr:nvSpPr>
        <xdr:spPr>
          <a:xfrm>
            <a:off x="279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2" name="$B$1">
            <a:extLst>
              <a:ext uri="{FF2B5EF4-FFF2-40B4-BE49-F238E27FC236}">
                <a16:creationId xmlns:a16="http://schemas.microsoft.com/office/drawing/2014/main" id="{7FF49413-117F-49AC-9FB7-32B606F8B93E}"/>
              </a:ext>
            </a:extLst>
          </xdr:cNvPr>
          <xdr:cNvSpPr/>
        </xdr:nvSpPr>
        <xdr:spPr>
          <a:xfrm>
            <a:off x="317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3" name="$B$1">
            <a:extLst>
              <a:ext uri="{FF2B5EF4-FFF2-40B4-BE49-F238E27FC236}">
                <a16:creationId xmlns:a16="http://schemas.microsoft.com/office/drawing/2014/main" id="{9508453E-D3A4-4447-A311-E14D789A6DEB}"/>
              </a:ext>
            </a:extLst>
          </xdr:cNvPr>
          <xdr:cNvSpPr/>
        </xdr:nvSpPr>
        <xdr:spPr>
          <a:xfrm>
            <a:off x="3302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4" name="$B$1">
            <a:extLst>
              <a:ext uri="{FF2B5EF4-FFF2-40B4-BE49-F238E27FC236}">
                <a16:creationId xmlns:a16="http://schemas.microsoft.com/office/drawing/2014/main" id="{A170239F-B046-45C1-9E82-332E6F3F19F4}"/>
              </a:ext>
            </a:extLst>
          </xdr:cNvPr>
          <xdr:cNvSpPr/>
        </xdr:nvSpPr>
        <xdr:spPr>
          <a:xfrm>
            <a:off x="3429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5" name="$B$1">
            <a:extLst>
              <a:ext uri="{FF2B5EF4-FFF2-40B4-BE49-F238E27FC236}">
                <a16:creationId xmlns:a16="http://schemas.microsoft.com/office/drawing/2014/main" id="{39F8D4AD-976C-4AED-AFFA-8D4109E1F3B9}"/>
              </a:ext>
            </a:extLst>
          </xdr:cNvPr>
          <xdr:cNvSpPr/>
        </xdr:nvSpPr>
        <xdr:spPr>
          <a:xfrm>
            <a:off x="393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6" name="$B$1">
            <a:extLst>
              <a:ext uri="{FF2B5EF4-FFF2-40B4-BE49-F238E27FC236}">
                <a16:creationId xmlns:a16="http://schemas.microsoft.com/office/drawing/2014/main" id="{0A849233-5582-4DCF-BE35-86C672AF147F}"/>
              </a:ext>
            </a:extLst>
          </xdr:cNvPr>
          <xdr:cNvSpPr/>
        </xdr:nvSpPr>
        <xdr:spPr>
          <a:xfrm>
            <a:off x="406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7" name="$B$1">
            <a:extLst>
              <a:ext uri="{FF2B5EF4-FFF2-40B4-BE49-F238E27FC236}">
                <a16:creationId xmlns:a16="http://schemas.microsoft.com/office/drawing/2014/main" id="{6ACB3BAE-5F23-4302-87ED-AFB68458AAB3}"/>
              </a:ext>
            </a:extLst>
          </xdr:cNvPr>
          <xdr:cNvSpPr/>
        </xdr:nvSpPr>
        <xdr:spPr>
          <a:xfrm>
            <a:off x="444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8" name="$B$1">
            <a:extLst>
              <a:ext uri="{FF2B5EF4-FFF2-40B4-BE49-F238E27FC236}">
                <a16:creationId xmlns:a16="http://schemas.microsoft.com/office/drawing/2014/main" id="{B4373BBE-1A0B-4933-8DE2-934FF66B431F}"/>
              </a:ext>
            </a:extLst>
          </xdr:cNvPr>
          <xdr:cNvSpPr/>
        </xdr:nvSpPr>
        <xdr:spPr>
          <a:xfrm>
            <a:off x="4826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9" name="$B$1">
            <a:extLst>
              <a:ext uri="{FF2B5EF4-FFF2-40B4-BE49-F238E27FC236}">
                <a16:creationId xmlns:a16="http://schemas.microsoft.com/office/drawing/2014/main" id="{847D99BD-2E5E-4DE9-BA64-8331812A001E}"/>
              </a:ext>
            </a:extLst>
          </xdr:cNvPr>
          <xdr:cNvSpPr/>
        </xdr:nvSpPr>
        <xdr:spPr>
          <a:xfrm>
            <a:off x="4953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0" name="$B$1">
            <a:extLst>
              <a:ext uri="{FF2B5EF4-FFF2-40B4-BE49-F238E27FC236}">
                <a16:creationId xmlns:a16="http://schemas.microsoft.com/office/drawing/2014/main" id="{AA7B3EA0-F123-46E2-8DA2-15156BA617B7}"/>
              </a:ext>
            </a:extLst>
          </xdr:cNvPr>
          <xdr:cNvSpPr/>
        </xdr:nvSpPr>
        <xdr:spPr>
          <a:xfrm>
            <a:off x="508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1" name="$B$1">
            <a:extLst>
              <a:ext uri="{FF2B5EF4-FFF2-40B4-BE49-F238E27FC236}">
                <a16:creationId xmlns:a16="http://schemas.microsoft.com/office/drawing/2014/main" id="{00C80940-8942-43CB-B0CC-E6F2FB64D218}"/>
              </a:ext>
            </a:extLst>
          </xdr:cNvPr>
          <xdr:cNvSpPr/>
        </xdr:nvSpPr>
        <xdr:spPr>
          <a:xfrm>
            <a:off x="520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2" name="$B$1">
            <a:extLst>
              <a:ext uri="{FF2B5EF4-FFF2-40B4-BE49-F238E27FC236}">
                <a16:creationId xmlns:a16="http://schemas.microsoft.com/office/drawing/2014/main" id="{B75A3FF4-C72B-40C0-BF57-F245A381C4F6}"/>
              </a:ext>
            </a:extLst>
          </xdr:cNvPr>
          <xdr:cNvSpPr/>
        </xdr:nvSpPr>
        <xdr:spPr>
          <a:xfrm>
            <a:off x="533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3" name="$B$1">
            <a:extLst>
              <a:ext uri="{FF2B5EF4-FFF2-40B4-BE49-F238E27FC236}">
                <a16:creationId xmlns:a16="http://schemas.microsoft.com/office/drawing/2014/main" id="{0AC2BBC1-B025-438F-943F-3387EA09BD97}"/>
              </a:ext>
            </a:extLst>
          </xdr:cNvPr>
          <xdr:cNvSpPr/>
        </xdr:nvSpPr>
        <xdr:spPr>
          <a:xfrm>
            <a:off x="558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4" name="$B$1">
            <a:extLst>
              <a:ext uri="{FF2B5EF4-FFF2-40B4-BE49-F238E27FC236}">
                <a16:creationId xmlns:a16="http://schemas.microsoft.com/office/drawing/2014/main" id="{AAA06276-9975-4157-9E70-939B6D08F15B}"/>
              </a:ext>
            </a:extLst>
          </xdr:cNvPr>
          <xdr:cNvSpPr/>
        </xdr:nvSpPr>
        <xdr:spPr>
          <a:xfrm>
            <a:off x="6096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5" name="$B$1">
            <a:extLst>
              <a:ext uri="{FF2B5EF4-FFF2-40B4-BE49-F238E27FC236}">
                <a16:creationId xmlns:a16="http://schemas.microsoft.com/office/drawing/2014/main" id="{358D2F6E-7045-49BA-8CE3-F12D4C5F41B8}"/>
              </a:ext>
            </a:extLst>
          </xdr:cNvPr>
          <xdr:cNvSpPr/>
        </xdr:nvSpPr>
        <xdr:spPr>
          <a:xfrm>
            <a:off x="6223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6" name="$B$1">
            <a:extLst>
              <a:ext uri="{FF2B5EF4-FFF2-40B4-BE49-F238E27FC236}">
                <a16:creationId xmlns:a16="http://schemas.microsoft.com/office/drawing/2014/main" id="{C8F265AC-AD3B-475E-8524-F661CA1E9A6F}"/>
              </a:ext>
            </a:extLst>
          </xdr:cNvPr>
          <xdr:cNvSpPr/>
        </xdr:nvSpPr>
        <xdr:spPr>
          <a:xfrm>
            <a:off x="635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7" name="$B$1">
            <a:extLst>
              <a:ext uri="{FF2B5EF4-FFF2-40B4-BE49-F238E27FC236}">
                <a16:creationId xmlns:a16="http://schemas.microsoft.com/office/drawing/2014/main" id="{0AA6EB88-926C-4EF8-83D8-0DD72E4307E8}"/>
              </a:ext>
            </a:extLst>
          </xdr:cNvPr>
          <xdr:cNvSpPr/>
        </xdr:nvSpPr>
        <xdr:spPr>
          <a:xfrm>
            <a:off x="660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8" name="$B$1">
            <a:extLst>
              <a:ext uri="{FF2B5EF4-FFF2-40B4-BE49-F238E27FC236}">
                <a16:creationId xmlns:a16="http://schemas.microsoft.com/office/drawing/2014/main" id="{51099125-8596-421C-B35A-C8299A6ABD31}"/>
              </a:ext>
            </a:extLst>
          </xdr:cNvPr>
          <xdr:cNvSpPr/>
        </xdr:nvSpPr>
        <xdr:spPr>
          <a:xfrm>
            <a:off x="6731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9" name="$B$1">
            <a:extLst>
              <a:ext uri="{FF2B5EF4-FFF2-40B4-BE49-F238E27FC236}">
                <a16:creationId xmlns:a16="http://schemas.microsoft.com/office/drawing/2014/main" id="{EF48B7C6-7483-4FCD-A77F-CB1C96A14862}"/>
              </a:ext>
            </a:extLst>
          </xdr:cNvPr>
          <xdr:cNvSpPr/>
        </xdr:nvSpPr>
        <xdr:spPr>
          <a:xfrm>
            <a:off x="685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0" name="$B$1">
            <a:extLst>
              <a:ext uri="{FF2B5EF4-FFF2-40B4-BE49-F238E27FC236}">
                <a16:creationId xmlns:a16="http://schemas.microsoft.com/office/drawing/2014/main" id="{FCAC33E1-E810-4FE2-B9FA-316F446B6FE2}"/>
              </a:ext>
            </a:extLst>
          </xdr:cNvPr>
          <xdr:cNvSpPr/>
        </xdr:nvSpPr>
        <xdr:spPr>
          <a:xfrm>
            <a:off x="7112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1" name="$B$1">
            <a:extLst>
              <a:ext uri="{FF2B5EF4-FFF2-40B4-BE49-F238E27FC236}">
                <a16:creationId xmlns:a16="http://schemas.microsoft.com/office/drawing/2014/main" id="{C9FC28E7-B1D8-402F-83B8-74CB485EE1E6}"/>
              </a:ext>
            </a:extLst>
          </xdr:cNvPr>
          <xdr:cNvSpPr/>
        </xdr:nvSpPr>
        <xdr:spPr>
          <a:xfrm>
            <a:off x="7493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2" name="$B$1">
            <a:extLst>
              <a:ext uri="{FF2B5EF4-FFF2-40B4-BE49-F238E27FC236}">
                <a16:creationId xmlns:a16="http://schemas.microsoft.com/office/drawing/2014/main" id="{D1AB08D8-FCCB-4E2D-9965-6898C9EC466C}"/>
              </a:ext>
            </a:extLst>
          </xdr:cNvPr>
          <xdr:cNvSpPr/>
        </xdr:nvSpPr>
        <xdr:spPr>
          <a:xfrm>
            <a:off x="762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3" name="$B$1">
            <a:extLst>
              <a:ext uri="{FF2B5EF4-FFF2-40B4-BE49-F238E27FC236}">
                <a16:creationId xmlns:a16="http://schemas.microsoft.com/office/drawing/2014/main" id="{7C50A5D8-8842-45AC-812E-8BD7722BFDA7}"/>
              </a:ext>
            </a:extLst>
          </xdr:cNvPr>
          <xdr:cNvSpPr/>
        </xdr:nvSpPr>
        <xdr:spPr>
          <a:xfrm>
            <a:off x="774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4" name="$B$1">
            <a:extLst>
              <a:ext uri="{FF2B5EF4-FFF2-40B4-BE49-F238E27FC236}">
                <a16:creationId xmlns:a16="http://schemas.microsoft.com/office/drawing/2014/main" id="{5C564ECE-F816-4B68-AA67-AEBC1E9D6C37}"/>
              </a:ext>
            </a:extLst>
          </xdr:cNvPr>
          <xdr:cNvSpPr/>
        </xdr:nvSpPr>
        <xdr:spPr>
          <a:xfrm>
            <a:off x="812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5" name="$B$1">
            <a:extLst>
              <a:ext uri="{FF2B5EF4-FFF2-40B4-BE49-F238E27FC236}">
                <a16:creationId xmlns:a16="http://schemas.microsoft.com/office/drawing/2014/main" id="{430515A2-BDA6-4EE4-AE2D-42CD5001029D}"/>
              </a:ext>
            </a:extLst>
          </xdr:cNvPr>
          <xdr:cNvSpPr/>
        </xdr:nvSpPr>
        <xdr:spPr>
          <a:xfrm>
            <a:off x="825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6" name="$B$1">
            <a:extLst>
              <a:ext uri="{FF2B5EF4-FFF2-40B4-BE49-F238E27FC236}">
                <a16:creationId xmlns:a16="http://schemas.microsoft.com/office/drawing/2014/main" id="{3EC36775-48A8-4968-AF4E-84CE658964E6}"/>
              </a:ext>
            </a:extLst>
          </xdr:cNvPr>
          <xdr:cNvSpPr/>
        </xdr:nvSpPr>
        <xdr:spPr>
          <a:xfrm>
            <a:off x="8763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7" name="$B$1">
            <a:extLst>
              <a:ext uri="{FF2B5EF4-FFF2-40B4-BE49-F238E27FC236}">
                <a16:creationId xmlns:a16="http://schemas.microsoft.com/office/drawing/2014/main" id="{79E23C01-327A-42C2-A9EE-CDC0C4B1B81F}"/>
              </a:ext>
            </a:extLst>
          </xdr:cNvPr>
          <xdr:cNvSpPr/>
        </xdr:nvSpPr>
        <xdr:spPr>
          <a:xfrm>
            <a:off x="889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8" name="$B$1">
            <a:extLst>
              <a:ext uri="{FF2B5EF4-FFF2-40B4-BE49-F238E27FC236}">
                <a16:creationId xmlns:a16="http://schemas.microsoft.com/office/drawing/2014/main" id="{657312C2-F728-491C-80D0-66550E4294C4}"/>
              </a:ext>
            </a:extLst>
          </xdr:cNvPr>
          <xdr:cNvSpPr/>
        </xdr:nvSpPr>
        <xdr:spPr>
          <a:xfrm>
            <a:off x="901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9" name="$B$1">
            <a:extLst>
              <a:ext uri="{FF2B5EF4-FFF2-40B4-BE49-F238E27FC236}">
                <a16:creationId xmlns:a16="http://schemas.microsoft.com/office/drawing/2014/main" id="{AC144D23-ECDB-40BC-B270-11E4B67CA872}"/>
              </a:ext>
            </a:extLst>
          </xdr:cNvPr>
          <xdr:cNvSpPr/>
        </xdr:nvSpPr>
        <xdr:spPr>
          <a:xfrm>
            <a:off x="914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0" name="$B$1">
            <a:extLst>
              <a:ext uri="{FF2B5EF4-FFF2-40B4-BE49-F238E27FC236}">
                <a16:creationId xmlns:a16="http://schemas.microsoft.com/office/drawing/2014/main" id="{435A5190-EC09-4819-85EA-6A9D8A9EEDC5}"/>
              </a:ext>
            </a:extLst>
          </xdr:cNvPr>
          <xdr:cNvSpPr/>
        </xdr:nvSpPr>
        <xdr:spPr>
          <a:xfrm>
            <a:off x="9271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1" name="$B$1">
            <a:extLst>
              <a:ext uri="{FF2B5EF4-FFF2-40B4-BE49-F238E27FC236}">
                <a16:creationId xmlns:a16="http://schemas.microsoft.com/office/drawing/2014/main" id="{ABEFB582-B6B7-478A-8D96-2B1F640D1241}"/>
              </a:ext>
            </a:extLst>
          </xdr:cNvPr>
          <xdr:cNvSpPr/>
        </xdr:nvSpPr>
        <xdr:spPr>
          <a:xfrm>
            <a:off x="939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2" name="$B$1">
            <a:extLst>
              <a:ext uri="{FF2B5EF4-FFF2-40B4-BE49-F238E27FC236}">
                <a16:creationId xmlns:a16="http://schemas.microsoft.com/office/drawing/2014/main" id="{F69B92C7-E398-416C-8F5D-A3563F98AFC3}"/>
              </a:ext>
            </a:extLst>
          </xdr:cNvPr>
          <xdr:cNvSpPr/>
        </xdr:nvSpPr>
        <xdr:spPr>
          <a:xfrm>
            <a:off x="952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3" name="$B$1">
            <a:extLst>
              <a:ext uri="{FF2B5EF4-FFF2-40B4-BE49-F238E27FC236}">
                <a16:creationId xmlns:a16="http://schemas.microsoft.com/office/drawing/2014/main" id="{07FC9DE1-2D0B-44E9-B95A-CF0AFD9E24D2}"/>
              </a:ext>
            </a:extLst>
          </xdr:cNvPr>
          <xdr:cNvSpPr/>
        </xdr:nvSpPr>
        <xdr:spPr>
          <a:xfrm>
            <a:off x="9779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4" name="$B$1">
            <a:extLst>
              <a:ext uri="{FF2B5EF4-FFF2-40B4-BE49-F238E27FC236}">
                <a16:creationId xmlns:a16="http://schemas.microsoft.com/office/drawing/2014/main" id="{797D4585-5896-47BF-8852-89D43432FBA8}"/>
              </a:ext>
            </a:extLst>
          </xdr:cNvPr>
          <xdr:cNvSpPr/>
        </xdr:nvSpPr>
        <xdr:spPr>
          <a:xfrm>
            <a:off x="1028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5" name="$B$1">
            <a:extLst>
              <a:ext uri="{FF2B5EF4-FFF2-40B4-BE49-F238E27FC236}">
                <a16:creationId xmlns:a16="http://schemas.microsoft.com/office/drawing/2014/main" id="{AA2A9027-D908-4E1F-A4E3-B114D9468CFE}"/>
              </a:ext>
            </a:extLst>
          </xdr:cNvPr>
          <xdr:cNvSpPr/>
        </xdr:nvSpPr>
        <xdr:spPr>
          <a:xfrm>
            <a:off x="10541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6" name="$B$1">
            <a:extLst>
              <a:ext uri="{FF2B5EF4-FFF2-40B4-BE49-F238E27FC236}">
                <a16:creationId xmlns:a16="http://schemas.microsoft.com/office/drawing/2014/main" id="{B2C39A85-6C2E-41BC-B9B1-82CDD6CAA83B}"/>
              </a:ext>
            </a:extLst>
          </xdr:cNvPr>
          <xdr:cNvSpPr/>
        </xdr:nvSpPr>
        <xdr:spPr>
          <a:xfrm>
            <a:off x="10922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7" name="$B$1">
            <a:extLst>
              <a:ext uri="{FF2B5EF4-FFF2-40B4-BE49-F238E27FC236}">
                <a16:creationId xmlns:a16="http://schemas.microsoft.com/office/drawing/2014/main" id="{CBA25734-3D65-4A27-931F-6277147FDEB7}"/>
              </a:ext>
            </a:extLst>
          </xdr:cNvPr>
          <xdr:cNvSpPr/>
        </xdr:nvSpPr>
        <xdr:spPr>
          <a:xfrm>
            <a:off x="12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8" name="$B$1">
            <a:extLst>
              <a:ext uri="{FF2B5EF4-FFF2-40B4-BE49-F238E27FC236}">
                <a16:creationId xmlns:a16="http://schemas.microsoft.com/office/drawing/2014/main" id="{097AC178-0033-4D64-8B32-EA7F4B5383E2}"/>
              </a:ext>
            </a:extLst>
          </xdr:cNvPr>
          <xdr:cNvSpPr/>
        </xdr:nvSpPr>
        <xdr:spPr>
          <a:xfrm>
            <a:off x="25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9" name="$B$1">
            <a:extLst>
              <a:ext uri="{FF2B5EF4-FFF2-40B4-BE49-F238E27FC236}">
                <a16:creationId xmlns:a16="http://schemas.microsoft.com/office/drawing/2014/main" id="{02F491BE-9A96-424C-9AC0-0DAE9BC05C75}"/>
              </a:ext>
            </a:extLst>
          </xdr:cNvPr>
          <xdr:cNvSpPr/>
        </xdr:nvSpPr>
        <xdr:spPr>
          <a:xfrm>
            <a:off x="38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0" name="$B$1">
            <a:extLst>
              <a:ext uri="{FF2B5EF4-FFF2-40B4-BE49-F238E27FC236}">
                <a16:creationId xmlns:a16="http://schemas.microsoft.com/office/drawing/2014/main" id="{3F82E131-D64D-494D-8B13-C6EF56CFC135}"/>
              </a:ext>
            </a:extLst>
          </xdr:cNvPr>
          <xdr:cNvSpPr/>
        </xdr:nvSpPr>
        <xdr:spPr>
          <a:xfrm>
            <a:off x="508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1" name="$B$1">
            <a:extLst>
              <a:ext uri="{FF2B5EF4-FFF2-40B4-BE49-F238E27FC236}">
                <a16:creationId xmlns:a16="http://schemas.microsoft.com/office/drawing/2014/main" id="{BA48E437-0EF9-44B7-9A4B-A01A84D7A1EB}"/>
              </a:ext>
            </a:extLst>
          </xdr:cNvPr>
          <xdr:cNvSpPr/>
        </xdr:nvSpPr>
        <xdr:spPr>
          <a:xfrm>
            <a:off x="63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2" name="$B$1">
            <a:extLst>
              <a:ext uri="{FF2B5EF4-FFF2-40B4-BE49-F238E27FC236}">
                <a16:creationId xmlns:a16="http://schemas.microsoft.com/office/drawing/2014/main" id="{D6BF5926-CEC7-4FFB-9B0B-2EA3B7369A9C}"/>
              </a:ext>
            </a:extLst>
          </xdr:cNvPr>
          <xdr:cNvSpPr/>
        </xdr:nvSpPr>
        <xdr:spPr>
          <a:xfrm>
            <a:off x="762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3" name="$B$1">
            <a:extLst>
              <a:ext uri="{FF2B5EF4-FFF2-40B4-BE49-F238E27FC236}">
                <a16:creationId xmlns:a16="http://schemas.microsoft.com/office/drawing/2014/main" id="{23E798E4-907C-49D1-B487-06098C7BB14A}"/>
              </a:ext>
            </a:extLst>
          </xdr:cNvPr>
          <xdr:cNvSpPr/>
        </xdr:nvSpPr>
        <xdr:spPr>
          <a:xfrm>
            <a:off x="88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4" name="$B$1">
            <a:extLst>
              <a:ext uri="{FF2B5EF4-FFF2-40B4-BE49-F238E27FC236}">
                <a16:creationId xmlns:a16="http://schemas.microsoft.com/office/drawing/2014/main" id="{F99F246B-6FEB-4B73-BFE5-3F8FF7C7FFDE}"/>
              </a:ext>
            </a:extLst>
          </xdr:cNvPr>
          <xdr:cNvSpPr/>
        </xdr:nvSpPr>
        <xdr:spPr>
          <a:xfrm>
            <a:off x="1016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5" name="$B$1">
            <a:extLst>
              <a:ext uri="{FF2B5EF4-FFF2-40B4-BE49-F238E27FC236}">
                <a16:creationId xmlns:a16="http://schemas.microsoft.com/office/drawing/2014/main" id="{CA57003A-206D-46E3-AE73-50EB6E367B2B}"/>
              </a:ext>
            </a:extLst>
          </xdr:cNvPr>
          <xdr:cNvSpPr/>
        </xdr:nvSpPr>
        <xdr:spPr>
          <a:xfrm>
            <a:off x="127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6" name="$B$1">
            <a:extLst>
              <a:ext uri="{FF2B5EF4-FFF2-40B4-BE49-F238E27FC236}">
                <a16:creationId xmlns:a16="http://schemas.microsoft.com/office/drawing/2014/main" id="{9F15E30B-7C58-46EC-B205-E229C8A6D564}"/>
              </a:ext>
            </a:extLst>
          </xdr:cNvPr>
          <xdr:cNvSpPr/>
        </xdr:nvSpPr>
        <xdr:spPr>
          <a:xfrm>
            <a:off x="152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7" name="$B$1">
            <a:extLst>
              <a:ext uri="{FF2B5EF4-FFF2-40B4-BE49-F238E27FC236}">
                <a16:creationId xmlns:a16="http://schemas.microsoft.com/office/drawing/2014/main" id="{13DB2046-B4E0-4CB7-BA55-F7C5E589EFB2}"/>
              </a:ext>
            </a:extLst>
          </xdr:cNvPr>
          <xdr:cNvSpPr/>
        </xdr:nvSpPr>
        <xdr:spPr>
          <a:xfrm>
            <a:off x="1778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8" name="$B$1">
            <a:extLst>
              <a:ext uri="{FF2B5EF4-FFF2-40B4-BE49-F238E27FC236}">
                <a16:creationId xmlns:a16="http://schemas.microsoft.com/office/drawing/2014/main" id="{3FFEF377-C65D-426D-ABEB-3EEC4F13BE2B}"/>
              </a:ext>
            </a:extLst>
          </xdr:cNvPr>
          <xdr:cNvSpPr/>
        </xdr:nvSpPr>
        <xdr:spPr>
          <a:xfrm>
            <a:off x="2286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9" name="$B$1">
            <a:extLst>
              <a:ext uri="{FF2B5EF4-FFF2-40B4-BE49-F238E27FC236}">
                <a16:creationId xmlns:a16="http://schemas.microsoft.com/office/drawing/2014/main" id="{CDE0565D-6ABC-4004-AAE8-25FA778274AD}"/>
              </a:ext>
            </a:extLst>
          </xdr:cNvPr>
          <xdr:cNvSpPr/>
        </xdr:nvSpPr>
        <xdr:spPr>
          <a:xfrm>
            <a:off x="2413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0" name="$B$1">
            <a:extLst>
              <a:ext uri="{FF2B5EF4-FFF2-40B4-BE49-F238E27FC236}">
                <a16:creationId xmlns:a16="http://schemas.microsoft.com/office/drawing/2014/main" id="{2856CE6C-5EF5-4696-BC58-BA2AC4F7C60E}"/>
              </a:ext>
            </a:extLst>
          </xdr:cNvPr>
          <xdr:cNvSpPr/>
        </xdr:nvSpPr>
        <xdr:spPr>
          <a:xfrm>
            <a:off x="266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1" name="$B$1">
            <a:extLst>
              <a:ext uri="{FF2B5EF4-FFF2-40B4-BE49-F238E27FC236}">
                <a16:creationId xmlns:a16="http://schemas.microsoft.com/office/drawing/2014/main" id="{AB003D4D-58BE-4D56-8725-A65795E2A7A0}"/>
              </a:ext>
            </a:extLst>
          </xdr:cNvPr>
          <xdr:cNvSpPr/>
        </xdr:nvSpPr>
        <xdr:spPr>
          <a:xfrm>
            <a:off x="317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2" name="$B$1">
            <a:extLst>
              <a:ext uri="{FF2B5EF4-FFF2-40B4-BE49-F238E27FC236}">
                <a16:creationId xmlns:a16="http://schemas.microsoft.com/office/drawing/2014/main" id="{C3858B1D-2CF4-45FD-B07B-7CB78CCD6B0E}"/>
              </a:ext>
            </a:extLst>
          </xdr:cNvPr>
          <xdr:cNvSpPr/>
        </xdr:nvSpPr>
        <xdr:spPr>
          <a:xfrm>
            <a:off x="3556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3" name="$B$1">
            <a:extLst>
              <a:ext uri="{FF2B5EF4-FFF2-40B4-BE49-F238E27FC236}">
                <a16:creationId xmlns:a16="http://schemas.microsoft.com/office/drawing/2014/main" id="{698541CF-988F-4659-A009-CF32AAF3B7B8}"/>
              </a:ext>
            </a:extLst>
          </xdr:cNvPr>
          <xdr:cNvSpPr/>
        </xdr:nvSpPr>
        <xdr:spPr>
          <a:xfrm>
            <a:off x="3683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4" name="$B$1">
            <a:extLst>
              <a:ext uri="{FF2B5EF4-FFF2-40B4-BE49-F238E27FC236}">
                <a16:creationId xmlns:a16="http://schemas.microsoft.com/office/drawing/2014/main" id="{8A6BB48A-61A1-4ED4-938E-DE50BCF5622A}"/>
              </a:ext>
            </a:extLst>
          </xdr:cNvPr>
          <xdr:cNvSpPr/>
        </xdr:nvSpPr>
        <xdr:spPr>
          <a:xfrm>
            <a:off x="381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5" name="$B$1">
            <a:extLst>
              <a:ext uri="{FF2B5EF4-FFF2-40B4-BE49-F238E27FC236}">
                <a16:creationId xmlns:a16="http://schemas.microsoft.com/office/drawing/2014/main" id="{55CF9671-979C-4AB7-BB3D-1E7AB7284B11}"/>
              </a:ext>
            </a:extLst>
          </xdr:cNvPr>
          <xdr:cNvSpPr/>
        </xdr:nvSpPr>
        <xdr:spPr>
          <a:xfrm>
            <a:off x="393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6" name="$B$1">
            <a:extLst>
              <a:ext uri="{FF2B5EF4-FFF2-40B4-BE49-F238E27FC236}">
                <a16:creationId xmlns:a16="http://schemas.microsoft.com/office/drawing/2014/main" id="{073171BF-E903-4F5B-8A53-731C9D03D1E1}"/>
              </a:ext>
            </a:extLst>
          </xdr:cNvPr>
          <xdr:cNvSpPr/>
        </xdr:nvSpPr>
        <xdr:spPr>
          <a:xfrm>
            <a:off x="406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7" name="$B$1">
            <a:extLst>
              <a:ext uri="{FF2B5EF4-FFF2-40B4-BE49-F238E27FC236}">
                <a16:creationId xmlns:a16="http://schemas.microsoft.com/office/drawing/2014/main" id="{F83610A8-3D3D-44B9-93C5-688E19F5DDB3}"/>
              </a:ext>
            </a:extLst>
          </xdr:cNvPr>
          <xdr:cNvSpPr/>
        </xdr:nvSpPr>
        <xdr:spPr>
          <a:xfrm>
            <a:off x="444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8" name="$B$1">
            <a:extLst>
              <a:ext uri="{FF2B5EF4-FFF2-40B4-BE49-F238E27FC236}">
                <a16:creationId xmlns:a16="http://schemas.microsoft.com/office/drawing/2014/main" id="{D3EA5F18-2D3D-4114-B169-2AD4D6A8A08B}"/>
              </a:ext>
            </a:extLst>
          </xdr:cNvPr>
          <xdr:cNvSpPr/>
        </xdr:nvSpPr>
        <xdr:spPr>
          <a:xfrm>
            <a:off x="4826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9" name="$B$1">
            <a:extLst>
              <a:ext uri="{FF2B5EF4-FFF2-40B4-BE49-F238E27FC236}">
                <a16:creationId xmlns:a16="http://schemas.microsoft.com/office/drawing/2014/main" id="{48AC4C60-FEE4-48C6-9D57-992EA5CD7869}"/>
              </a:ext>
            </a:extLst>
          </xdr:cNvPr>
          <xdr:cNvSpPr/>
        </xdr:nvSpPr>
        <xdr:spPr>
          <a:xfrm>
            <a:off x="4953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0" name="$B$1">
            <a:extLst>
              <a:ext uri="{FF2B5EF4-FFF2-40B4-BE49-F238E27FC236}">
                <a16:creationId xmlns:a16="http://schemas.microsoft.com/office/drawing/2014/main" id="{CEB7B1A3-A880-4A22-9BBC-FFE9315D0351}"/>
              </a:ext>
            </a:extLst>
          </xdr:cNvPr>
          <xdr:cNvSpPr/>
        </xdr:nvSpPr>
        <xdr:spPr>
          <a:xfrm>
            <a:off x="508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1" name="$B$1">
            <a:extLst>
              <a:ext uri="{FF2B5EF4-FFF2-40B4-BE49-F238E27FC236}">
                <a16:creationId xmlns:a16="http://schemas.microsoft.com/office/drawing/2014/main" id="{E66EBD18-193D-4C3D-BC27-3A988252BD2F}"/>
              </a:ext>
            </a:extLst>
          </xdr:cNvPr>
          <xdr:cNvSpPr/>
        </xdr:nvSpPr>
        <xdr:spPr>
          <a:xfrm>
            <a:off x="520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2" name="$B$1">
            <a:extLst>
              <a:ext uri="{FF2B5EF4-FFF2-40B4-BE49-F238E27FC236}">
                <a16:creationId xmlns:a16="http://schemas.microsoft.com/office/drawing/2014/main" id="{A5BDC4AF-0097-48EE-8491-2C444D1882CA}"/>
              </a:ext>
            </a:extLst>
          </xdr:cNvPr>
          <xdr:cNvSpPr/>
        </xdr:nvSpPr>
        <xdr:spPr>
          <a:xfrm>
            <a:off x="596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3" name="$B$1">
            <a:extLst>
              <a:ext uri="{FF2B5EF4-FFF2-40B4-BE49-F238E27FC236}">
                <a16:creationId xmlns:a16="http://schemas.microsoft.com/office/drawing/2014/main" id="{8E156196-7C94-47D1-A7CF-D20786886B6C}"/>
              </a:ext>
            </a:extLst>
          </xdr:cNvPr>
          <xdr:cNvSpPr/>
        </xdr:nvSpPr>
        <xdr:spPr>
          <a:xfrm>
            <a:off x="635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4" name="$B$1">
            <a:extLst>
              <a:ext uri="{FF2B5EF4-FFF2-40B4-BE49-F238E27FC236}">
                <a16:creationId xmlns:a16="http://schemas.microsoft.com/office/drawing/2014/main" id="{EEAF06A8-CDAA-42A0-A646-66B303F1E547}"/>
              </a:ext>
            </a:extLst>
          </xdr:cNvPr>
          <xdr:cNvSpPr/>
        </xdr:nvSpPr>
        <xdr:spPr>
          <a:xfrm>
            <a:off x="660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5" name="$B$1">
            <a:extLst>
              <a:ext uri="{FF2B5EF4-FFF2-40B4-BE49-F238E27FC236}">
                <a16:creationId xmlns:a16="http://schemas.microsoft.com/office/drawing/2014/main" id="{A54139D5-D66C-463A-BBE0-6F24621F0F5B}"/>
              </a:ext>
            </a:extLst>
          </xdr:cNvPr>
          <xdr:cNvSpPr/>
        </xdr:nvSpPr>
        <xdr:spPr>
          <a:xfrm>
            <a:off x="673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6" name="$B$1">
            <a:extLst>
              <a:ext uri="{FF2B5EF4-FFF2-40B4-BE49-F238E27FC236}">
                <a16:creationId xmlns:a16="http://schemas.microsoft.com/office/drawing/2014/main" id="{18F89F42-8760-46E3-978E-F031691D142C}"/>
              </a:ext>
            </a:extLst>
          </xdr:cNvPr>
          <xdr:cNvSpPr/>
        </xdr:nvSpPr>
        <xdr:spPr>
          <a:xfrm>
            <a:off x="698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7" name="$B$1">
            <a:extLst>
              <a:ext uri="{FF2B5EF4-FFF2-40B4-BE49-F238E27FC236}">
                <a16:creationId xmlns:a16="http://schemas.microsoft.com/office/drawing/2014/main" id="{24F6CE72-9B01-472E-BB52-CC4A4A426BCD}"/>
              </a:ext>
            </a:extLst>
          </xdr:cNvPr>
          <xdr:cNvSpPr/>
        </xdr:nvSpPr>
        <xdr:spPr>
          <a:xfrm>
            <a:off x="7493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8" name="$B$1">
            <a:extLst>
              <a:ext uri="{FF2B5EF4-FFF2-40B4-BE49-F238E27FC236}">
                <a16:creationId xmlns:a16="http://schemas.microsoft.com/office/drawing/2014/main" id="{AE9075D0-C664-4FF2-90CC-76EDCFED9108}"/>
              </a:ext>
            </a:extLst>
          </xdr:cNvPr>
          <xdr:cNvSpPr/>
        </xdr:nvSpPr>
        <xdr:spPr>
          <a:xfrm>
            <a:off x="762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9" name="$B$1">
            <a:extLst>
              <a:ext uri="{FF2B5EF4-FFF2-40B4-BE49-F238E27FC236}">
                <a16:creationId xmlns:a16="http://schemas.microsoft.com/office/drawing/2014/main" id="{0DC4798C-8E2B-42B3-BCF5-C30C8B760F0C}"/>
              </a:ext>
            </a:extLst>
          </xdr:cNvPr>
          <xdr:cNvSpPr/>
        </xdr:nvSpPr>
        <xdr:spPr>
          <a:xfrm>
            <a:off x="787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0" name="$B$1">
            <a:extLst>
              <a:ext uri="{FF2B5EF4-FFF2-40B4-BE49-F238E27FC236}">
                <a16:creationId xmlns:a16="http://schemas.microsoft.com/office/drawing/2014/main" id="{A711B251-2F88-4AF8-B66A-2B9883064B0E}"/>
              </a:ext>
            </a:extLst>
          </xdr:cNvPr>
          <xdr:cNvSpPr/>
        </xdr:nvSpPr>
        <xdr:spPr>
          <a:xfrm>
            <a:off x="800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1" name="$B$1">
            <a:extLst>
              <a:ext uri="{FF2B5EF4-FFF2-40B4-BE49-F238E27FC236}">
                <a16:creationId xmlns:a16="http://schemas.microsoft.com/office/drawing/2014/main" id="{80076939-3557-43B1-9207-56E1C138BD03}"/>
              </a:ext>
            </a:extLst>
          </xdr:cNvPr>
          <xdr:cNvSpPr/>
        </xdr:nvSpPr>
        <xdr:spPr>
          <a:xfrm>
            <a:off x="8128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2" name="$B$1">
            <a:extLst>
              <a:ext uri="{FF2B5EF4-FFF2-40B4-BE49-F238E27FC236}">
                <a16:creationId xmlns:a16="http://schemas.microsoft.com/office/drawing/2014/main" id="{4745FD30-2E72-4C85-9108-CE47269ED4B9}"/>
              </a:ext>
            </a:extLst>
          </xdr:cNvPr>
          <xdr:cNvSpPr/>
        </xdr:nvSpPr>
        <xdr:spPr>
          <a:xfrm>
            <a:off x="825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3" name="$B$1">
            <a:extLst>
              <a:ext uri="{FF2B5EF4-FFF2-40B4-BE49-F238E27FC236}">
                <a16:creationId xmlns:a16="http://schemas.microsoft.com/office/drawing/2014/main" id="{A6F134A5-5AF3-4DD1-94E9-6B526D8D2AE8}"/>
              </a:ext>
            </a:extLst>
          </xdr:cNvPr>
          <xdr:cNvSpPr/>
        </xdr:nvSpPr>
        <xdr:spPr>
          <a:xfrm>
            <a:off x="8382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4" name="$B$1">
            <a:extLst>
              <a:ext uri="{FF2B5EF4-FFF2-40B4-BE49-F238E27FC236}">
                <a16:creationId xmlns:a16="http://schemas.microsoft.com/office/drawing/2014/main" id="{0D999570-BF5E-4CF8-9114-57E0687141B2}"/>
              </a:ext>
            </a:extLst>
          </xdr:cNvPr>
          <xdr:cNvSpPr/>
        </xdr:nvSpPr>
        <xdr:spPr>
          <a:xfrm>
            <a:off x="850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5" name="$B$1">
            <a:extLst>
              <a:ext uri="{FF2B5EF4-FFF2-40B4-BE49-F238E27FC236}">
                <a16:creationId xmlns:a16="http://schemas.microsoft.com/office/drawing/2014/main" id="{D930C5AE-CC78-4401-8B47-22FC62AC4F88}"/>
              </a:ext>
            </a:extLst>
          </xdr:cNvPr>
          <xdr:cNvSpPr/>
        </xdr:nvSpPr>
        <xdr:spPr>
          <a:xfrm>
            <a:off x="8763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6" name="$B$1">
            <a:extLst>
              <a:ext uri="{FF2B5EF4-FFF2-40B4-BE49-F238E27FC236}">
                <a16:creationId xmlns:a16="http://schemas.microsoft.com/office/drawing/2014/main" id="{E6302F22-2471-4680-BE27-F0879689CABF}"/>
              </a:ext>
            </a:extLst>
          </xdr:cNvPr>
          <xdr:cNvSpPr/>
        </xdr:nvSpPr>
        <xdr:spPr>
          <a:xfrm>
            <a:off x="889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7" name="$B$1">
            <a:extLst>
              <a:ext uri="{FF2B5EF4-FFF2-40B4-BE49-F238E27FC236}">
                <a16:creationId xmlns:a16="http://schemas.microsoft.com/office/drawing/2014/main" id="{0BFA15FC-ED0B-4A06-9C17-18D1485E59E5}"/>
              </a:ext>
            </a:extLst>
          </xdr:cNvPr>
          <xdr:cNvSpPr/>
        </xdr:nvSpPr>
        <xdr:spPr>
          <a:xfrm>
            <a:off x="901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8" name="$B$1">
            <a:extLst>
              <a:ext uri="{FF2B5EF4-FFF2-40B4-BE49-F238E27FC236}">
                <a16:creationId xmlns:a16="http://schemas.microsoft.com/office/drawing/2014/main" id="{003FC185-2B73-4E02-853A-ECDE3BECB3AA}"/>
              </a:ext>
            </a:extLst>
          </xdr:cNvPr>
          <xdr:cNvSpPr/>
        </xdr:nvSpPr>
        <xdr:spPr>
          <a:xfrm>
            <a:off x="914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9" name="$B$1">
            <a:extLst>
              <a:ext uri="{FF2B5EF4-FFF2-40B4-BE49-F238E27FC236}">
                <a16:creationId xmlns:a16="http://schemas.microsoft.com/office/drawing/2014/main" id="{10AA4248-E928-40D2-9E39-64C4E790E12A}"/>
              </a:ext>
            </a:extLst>
          </xdr:cNvPr>
          <xdr:cNvSpPr/>
        </xdr:nvSpPr>
        <xdr:spPr>
          <a:xfrm>
            <a:off x="927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0" name="$B$1">
            <a:extLst>
              <a:ext uri="{FF2B5EF4-FFF2-40B4-BE49-F238E27FC236}">
                <a16:creationId xmlns:a16="http://schemas.microsoft.com/office/drawing/2014/main" id="{C44D5304-CBBE-49B0-AA9A-FC756A412C11}"/>
              </a:ext>
            </a:extLst>
          </xdr:cNvPr>
          <xdr:cNvSpPr/>
        </xdr:nvSpPr>
        <xdr:spPr>
          <a:xfrm>
            <a:off x="9398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1" name="$B$1">
            <a:extLst>
              <a:ext uri="{FF2B5EF4-FFF2-40B4-BE49-F238E27FC236}">
                <a16:creationId xmlns:a16="http://schemas.microsoft.com/office/drawing/2014/main" id="{C677AD85-7B92-4FFB-B025-B88370D03838}"/>
              </a:ext>
            </a:extLst>
          </xdr:cNvPr>
          <xdr:cNvSpPr/>
        </xdr:nvSpPr>
        <xdr:spPr>
          <a:xfrm>
            <a:off x="952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2" name="$B$1">
            <a:extLst>
              <a:ext uri="{FF2B5EF4-FFF2-40B4-BE49-F238E27FC236}">
                <a16:creationId xmlns:a16="http://schemas.microsoft.com/office/drawing/2014/main" id="{6D7E31F8-BBE6-4986-A8D6-7A9CCCE010F4}"/>
              </a:ext>
            </a:extLst>
          </xdr:cNvPr>
          <xdr:cNvSpPr/>
        </xdr:nvSpPr>
        <xdr:spPr>
          <a:xfrm>
            <a:off x="977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3" name="$B$1">
            <a:extLst>
              <a:ext uri="{FF2B5EF4-FFF2-40B4-BE49-F238E27FC236}">
                <a16:creationId xmlns:a16="http://schemas.microsoft.com/office/drawing/2014/main" id="{10D54B63-4B98-4A46-B316-D08680427039}"/>
              </a:ext>
            </a:extLst>
          </xdr:cNvPr>
          <xdr:cNvSpPr/>
        </xdr:nvSpPr>
        <xdr:spPr>
          <a:xfrm>
            <a:off x="1028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4" name="$B$1">
            <a:extLst>
              <a:ext uri="{FF2B5EF4-FFF2-40B4-BE49-F238E27FC236}">
                <a16:creationId xmlns:a16="http://schemas.microsoft.com/office/drawing/2014/main" id="{57692ABC-ED10-4113-A352-2076BA8D4D6B}"/>
              </a:ext>
            </a:extLst>
          </xdr:cNvPr>
          <xdr:cNvSpPr/>
        </xdr:nvSpPr>
        <xdr:spPr>
          <a:xfrm>
            <a:off x="1054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5" name="$B$1">
            <a:extLst>
              <a:ext uri="{FF2B5EF4-FFF2-40B4-BE49-F238E27FC236}">
                <a16:creationId xmlns:a16="http://schemas.microsoft.com/office/drawing/2014/main" id="{90380344-AA19-45D5-91DD-736DC0683E0B}"/>
              </a:ext>
            </a:extLst>
          </xdr:cNvPr>
          <xdr:cNvSpPr/>
        </xdr:nvSpPr>
        <xdr:spPr>
          <a:xfrm>
            <a:off x="10922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6" name="$B$1">
            <a:extLst>
              <a:ext uri="{FF2B5EF4-FFF2-40B4-BE49-F238E27FC236}">
                <a16:creationId xmlns:a16="http://schemas.microsoft.com/office/drawing/2014/main" id="{B7E97BF3-4C5A-4419-ABA2-F9C64F92BFEB}"/>
              </a:ext>
            </a:extLst>
          </xdr:cNvPr>
          <xdr:cNvSpPr/>
        </xdr:nvSpPr>
        <xdr:spPr>
          <a:xfrm>
            <a:off x="127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7" name="$B$1">
            <a:extLst>
              <a:ext uri="{FF2B5EF4-FFF2-40B4-BE49-F238E27FC236}">
                <a16:creationId xmlns:a16="http://schemas.microsoft.com/office/drawing/2014/main" id="{8E859261-CC3C-40D0-A10F-95AD832A51A6}"/>
              </a:ext>
            </a:extLst>
          </xdr:cNvPr>
          <xdr:cNvSpPr/>
        </xdr:nvSpPr>
        <xdr:spPr>
          <a:xfrm>
            <a:off x="254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8" name="$B$1">
            <a:extLst>
              <a:ext uri="{FF2B5EF4-FFF2-40B4-BE49-F238E27FC236}">
                <a16:creationId xmlns:a16="http://schemas.microsoft.com/office/drawing/2014/main" id="{D14DF8B5-8070-4CB3-98B4-A667BBBB4A1E}"/>
              </a:ext>
            </a:extLst>
          </xdr:cNvPr>
          <xdr:cNvSpPr/>
        </xdr:nvSpPr>
        <xdr:spPr>
          <a:xfrm>
            <a:off x="381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9" name="$B$1">
            <a:extLst>
              <a:ext uri="{FF2B5EF4-FFF2-40B4-BE49-F238E27FC236}">
                <a16:creationId xmlns:a16="http://schemas.microsoft.com/office/drawing/2014/main" id="{BCF992B9-9FEE-49EB-AED1-1880D50DC75A}"/>
              </a:ext>
            </a:extLst>
          </xdr:cNvPr>
          <xdr:cNvSpPr/>
        </xdr:nvSpPr>
        <xdr:spPr>
          <a:xfrm>
            <a:off x="508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0" name="$B$1">
            <a:extLst>
              <a:ext uri="{FF2B5EF4-FFF2-40B4-BE49-F238E27FC236}">
                <a16:creationId xmlns:a16="http://schemas.microsoft.com/office/drawing/2014/main" id="{3AE0D66C-A632-4F8E-B254-6E486D45E177}"/>
              </a:ext>
            </a:extLst>
          </xdr:cNvPr>
          <xdr:cNvSpPr/>
        </xdr:nvSpPr>
        <xdr:spPr>
          <a:xfrm>
            <a:off x="635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1" name="$B$1">
            <a:extLst>
              <a:ext uri="{FF2B5EF4-FFF2-40B4-BE49-F238E27FC236}">
                <a16:creationId xmlns:a16="http://schemas.microsoft.com/office/drawing/2014/main" id="{B7646553-7545-44F9-BAC3-72452553ADBB}"/>
              </a:ext>
            </a:extLst>
          </xdr:cNvPr>
          <xdr:cNvSpPr/>
        </xdr:nvSpPr>
        <xdr:spPr>
          <a:xfrm>
            <a:off x="762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2" name="$B$1">
            <a:extLst>
              <a:ext uri="{FF2B5EF4-FFF2-40B4-BE49-F238E27FC236}">
                <a16:creationId xmlns:a16="http://schemas.microsoft.com/office/drawing/2014/main" id="{2603FFAB-A122-4A1B-8D86-7C189DC2CACF}"/>
              </a:ext>
            </a:extLst>
          </xdr:cNvPr>
          <xdr:cNvSpPr/>
        </xdr:nvSpPr>
        <xdr:spPr>
          <a:xfrm>
            <a:off x="889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3" name="$B$1">
            <a:extLst>
              <a:ext uri="{FF2B5EF4-FFF2-40B4-BE49-F238E27FC236}">
                <a16:creationId xmlns:a16="http://schemas.microsoft.com/office/drawing/2014/main" id="{386A3F53-5BEF-4C8D-AD40-90F1D8CAE53A}"/>
              </a:ext>
            </a:extLst>
          </xdr:cNvPr>
          <xdr:cNvSpPr/>
        </xdr:nvSpPr>
        <xdr:spPr>
          <a:xfrm>
            <a:off x="1016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4" name="$B$1">
            <a:extLst>
              <a:ext uri="{FF2B5EF4-FFF2-40B4-BE49-F238E27FC236}">
                <a16:creationId xmlns:a16="http://schemas.microsoft.com/office/drawing/2014/main" id="{A8FD33F0-7261-4FF7-A867-43A8D20E612E}"/>
              </a:ext>
            </a:extLst>
          </xdr:cNvPr>
          <xdr:cNvSpPr/>
        </xdr:nvSpPr>
        <xdr:spPr>
          <a:xfrm>
            <a:off x="1270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5" name="$B$1">
            <a:extLst>
              <a:ext uri="{FF2B5EF4-FFF2-40B4-BE49-F238E27FC236}">
                <a16:creationId xmlns:a16="http://schemas.microsoft.com/office/drawing/2014/main" id="{22309720-0485-4F41-9093-EF04223A0C29}"/>
              </a:ext>
            </a:extLst>
          </xdr:cNvPr>
          <xdr:cNvSpPr/>
        </xdr:nvSpPr>
        <xdr:spPr>
          <a:xfrm>
            <a:off x="1524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6" name="$B$1">
            <a:extLst>
              <a:ext uri="{FF2B5EF4-FFF2-40B4-BE49-F238E27FC236}">
                <a16:creationId xmlns:a16="http://schemas.microsoft.com/office/drawing/2014/main" id="{6AE92215-17D6-4567-9CE6-28B3784BEF0D}"/>
              </a:ext>
            </a:extLst>
          </xdr:cNvPr>
          <xdr:cNvSpPr/>
        </xdr:nvSpPr>
        <xdr:spPr>
          <a:xfrm>
            <a:off x="1778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7" name="$B$1">
            <a:extLst>
              <a:ext uri="{FF2B5EF4-FFF2-40B4-BE49-F238E27FC236}">
                <a16:creationId xmlns:a16="http://schemas.microsoft.com/office/drawing/2014/main" id="{5879D3B4-701D-406A-9EAB-9633F6EF1A24}"/>
              </a:ext>
            </a:extLst>
          </xdr:cNvPr>
          <xdr:cNvSpPr/>
        </xdr:nvSpPr>
        <xdr:spPr>
          <a:xfrm>
            <a:off x="2286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8" name="$B$1">
            <a:extLst>
              <a:ext uri="{FF2B5EF4-FFF2-40B4-BE49-F238E27FC236}">
                <a16:creationId xmlns:a16="http://schemas.microsoft.com/office/drawing/2014/main" id="{DD192417-AE7E-4E08-BB34-01AEF48671BC}"/>
              </a:ext>
            </a:extLst>
          </xdr:cNvPr>
          <xdr:cNvSpPr/>
        </xdr:nvSpPr>
        <xdr:spPr>
          <a:xfrm>
            <a:off x="2540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" name="$B$1">
            <a:extLst>
              <a:ext uri="{FF2B5EF4-FFF2-40B4-BE49-F238E27FC236}">
                <a16:creationId xmlns:a16="http://schemas.microsoft.com/office/drawing/2014/main" id="{626B1F72-5C15-4725-B60D-E49282CE6E27}"/>
              </a:ext>
            </a:extLst>
          </xdr:cNvPr>
          <xdr:cNvSpPr/>
        </xdr:nvSpPr>
        <xdr:spPr>
          <a:xfrm>
            <a:off x="3302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" name="$B$1">
            <a:extLst>
              <a:ext uri="{FF2B5EF4-FFF2-40B4-BE49-F238E27FC236}">
                <a16:creationId xmlns:a16="http://schemas.microsoft.com/office/drawing/2014/main" id="{0DB1716D-EB07-40BA-A70D-724F03B30868}"/>
              </a:ext>
            </a:extLst>
          </xdr:cNvPr>
          <xdr:cNvSpPr/>
        </xdr:nvSpPr>
        <xdr:spPr>
          <a:xfrm>
            <a:off x="3556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" name="$B$1">
            <a:extLst>
              <a:ext uri="{FF2B5EF4-FFF2-40B4-BE49-F238E27FC236}">
                <a16:creationId xmlns:a16="http://schemas.microsoft.com/office/drawing/2014/main" id="{7F242F11-F71F-4822-BB7B-E2150C0087EF}"/>
              </a:ext>
            </a:extLst>
          </xdr:cNvPr>
          <xdr:cNvSpPr/>
        </xdr:nvSpPr>
        <xdr:spPr>
          <a:xfrm>
            <a:off x="4445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" name="$B$1">
            <a:extLst>
              <a:ext uri="{FF2B5EF4-FFF2-40B4-BE49-F238E27FC236}">
                <a16:creationId xmlns:a16="http://schemas.microsoft.com/office/drawing/2014/main" id="{F540DF3F-CF46-40B8-B557-84825F791C41}"/>
              </a:ext>
            </a:extLst>
          </xdr:cNvPr>
          <xdr:cNvSpPr/>
        </xdr:nvSpPr>
        <xdr:spPr>
          <a:xfrm>
            <a:off x="4572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" name="$B$1">
            <a:extLst>
              <a:ext uri="{FF2B5EF4-FFF2-40B4-BE49-F238E27FC236}">
                <a16:creationId xmlns:a16="http://schemas.microsoft.com/office/drawing/2014/main" id="{D00D57A0-8513-4DCD-B05B-9366D760E8F9}"/>
              </a:ext>
            </a:extLst>
          </xdr:cNvPr>
          <xdr:cNvSpPr/>
        </xdr:nvSpPr>
        <xdr:spPr>
          <a:xfrm>
            <a:off x="4953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" name="$B$1">
            <a:extLst>
              <a:ext uri="{FF2B5EF4-FFF2-40B4-BE49-F238E27FC236}">
                <a16:creationId xmlns:a16="http://schemas.microsoft.com/office/drawing/2014/main" id="{D03ECD73-986C-471D-A8AD-B0424B137302}"/>
              </a:ext>
            </a:extLst>
          </xdr:cNvPr>
          <xdr:cNvSpPr/>
        </xdr:nvSpPr>
        <xdr:spPr>
          <a:xfrm>
            <a:off x="5080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" name="$B$1">
            <a:extLst>
              <a:ext uri="{FF2B5EF4-FFF2-40B4-BE49-F238E27FC236}">
                <a16:creationId xmlns:a16="http://schemas.microsoft.com/office/drawing/2014/main" id="{201E228E-08E4-4597-AD99-BE9569E5BAFB}"/>
              </a:ext>
            </a:extLst>
          </xdr:cNvPr>
          <xdr:cNvSpPr/>
        </xdr:nvSpPr>
        <xdr:spPr>
          <a:xfrm>
            <a:off x="5461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" name="$B$1">
            <a:extLst>
              <a:ext uri="{FF2B5EF4-FFF2-40B4-BE49-F238E27FC236}">
                <a16:creationId xmlns:a16="http://schemas.microsoft.com/office/drawing/2014/main" id="{D287A7B7-4537-42C8-88A4-CA75750BE763}"/>
              </a:ext>
            </a:extLst>
          </xdr:cNvPr>
          <xdr:cNvSpPr/>
        </xdr:nvSpPr>
        <xdr:spPr>
          <a:xfrm>
            <a:off x="5588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" name="$B$1">
            <a:extLst>
              <a:ext uri="{FF2B5EF4-FFF2-40B4-BE49-F238E27FC236}">
                <a16:creationId xmlns:a16="http://schemas.microsoft.com/office/drawing/2014/main" id="{9561C6A4-A171-414F-8371-E5F5D12E0634}"/>
              </a:ext>
            </a:extLst>
          </xdr:cNvPr>
          <xdr:cNvSpPr/>
        </xdr:nvSpPr>
        <xdr:spPr>
          <a:xfrm>
            <a:off x="6223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8" name="$B$1">
            <a:extLst>
              <a:ext uri="{FF2B5EF4-FFF2-40B4-BE49-F238E27FC236}">
                <a16:creationId xmlns:a16="http://schemas.microsoft.com/office/drawing/2014/main" id="{106725B4-7485-42DB-83A3-5FD3FE33F000}"/>
              </a:ext>
            </a:extLst>
          </xdr:cNvPr>
          <xdr:cNvSpPr/>
        </xdr:nvSpPr>
        <xdr:spPr>
          <a:xfrm>
            <a:off x="6350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9" name="$B$1">
            <a:extLst>
              <a:ext uri="{FF2B5EF4-FFF2-40B4-BE49-F238E27FC236}">
                <a16:creationId xmlns:a16="http://schemas.microsoft.com/office/drawing/2014/main" id="{2A8560F6-3771-41E2-A6D9-25F17C05797F}"/>
              </a:ext>
            </a:extLst>
          </xdr:cNvPr>
          <xdr:cNvSpPr/>
        </xdr:nvSpPr>
        <xdr:spPr>
          <a:xfrm>
            <a:off x="6604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0" name="$B$1">
            <a:extLst>
              <a:ext uri="{FF2B5EF4-FFF2-40B4-BE49-F238E27FC236}">
                <a16:creationId xmlns:a16="http://schemas.microsoft.com/office/drawing/2014/main" id="{887D8742-7EA3-46F1-84EA-978A182BAA1D}"/>
              </a:ext>
            </a:extLst>
          </xdr:cNvPr>
          <xdr:cNvSpPr/>
        </xdr:nvSpPr>
        <xdr:spPr>
          <a:xfrm>
            <a:off x="6858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1" name="$B$1">
            <a:extLst>
              <a:ext uri="{FF2B5EF4-FFF2-40B4-BE49-F238E27FC236}">
                <a16:creationId xmlns:a16="http://schemas.microsoft.com/office/drawing/2014/main" id="{B0450463-799A-4BE4-ADFD-6005A1CCB628}"/>
              </a:ext>
            </a:extLst>
          </xdr:cNvPr>
          <xdr:cNvSpPr/>
        </xdr:nvSpPr>
        <xdr:spPr>
          <a:xfrm>
            <a:off x="7493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2" name="$B$1">
            <a:extLst>
              <a:ext uri="{FF2B5EF4-FFF2-40B4-BE49-F238E27FC236}">
                <a16:creationId xmlns:a16="http://schemas.microsoft.com/office/drawing/2014/main" id="{33F0E228-4004-41CE-83BA-860046A532BE}"/>
              </a:ext>
            </a:extLst>
          </xdr:cNvPr>
          <xdr:cNvSpPr/>
        </xdr:nvSpPr>
        <xdr:spPr>
          <a:xfrm>
            <a:off x="7620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3" name="$B$1">
            <a:extLst>
              <a:ext uri="{FF2B5EF4-FFF2-40B4-BE49-F238E27FC236}">
                <a16:creationId xmlns:a16="http://schemas.microsoft.com/office/drawing/2014/main" id="{D1E363F8-286C-4058-B7B2-7D2B8F0C7CD2}"/>
              </a:ext>
            </a:extLst>
          </xdr:cNvPr>
          <xdr:cNvSpPr/>
        </xdr:nvSpPr>
        <xdr:spPr>
          <a:xfrm>
            <a:off x="8255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4" name="$B$1">
            <a:extLst>
              <a:ext uri="{FF2B5EF4-FFF2-40B4-BE49-F238E27FC236}">
                <a16:creationId xmlns:a16="http://schemas.microsoft.com/office/drawing/2014/main" id="{0A9833B4-6CA8-4EF2-A217-3CA915BBE53E}"/>
              </a:ext>
            </a:extLst>
          </xdr:cNvPr>
          <xdr:cNvSpPr/>
        </xdr:nvSpPr>
        <xdr:spPr>
          <a:xfrm>
            <a:off x="8382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5" name="$B$1">
            <a:extLst>
              <a:ext uri="{FF2B5EF4-FFF2-40B4-BE49-F238E27FC236}">
                <a16:creationId xmlns:a16="http://schemas.microsoft.com/office/drawing/2014/main" id="{D3F8AD91-C007-4514-8691-4ACB74908DD2}"/>
              </a:ext>
            </a:extLst>
          </xdr:cNvPr>
          <xdr:cNvSpPr/>
        </xdr:nvSpPr>
        <xdr:spPr>
          <a:xfrm>
            <a:off x="8763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6" name="$B$1">
            <a:extLst>
              <a:ext uri="{FF2B5EF4-FFF2-40B4-BE49-F238E27FC236}">
                <a16:creationId xmlns:a16="http://schemas.microsoft.com/office/drawing/2014/main" id="{BAFF7CDD-F4F1-4362-99F9-98656F277D64}"/>
              </a:ext>
            </a:extLst>
          </xdr:cNvPr>
          <xdr:cNvSpPr/>
        </xdr:nvSpPr>
        <xdr:spPr>
          <a:xfrm>
            <a:off x="8890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7" name="$B$1">
            <a:extLst>
              <a:ext uri="{FF2B5EF4-FFF2-40B4-BE49-F238E27FC236}">
                <a16:creationId xmlns:a16="http://schemas.microsoft.com/office/drawing/2014/main" id="{9D34F859-F739-4D8F-B7D0-171E6F5099A5}"/>
              </a:ext>
            </a:extLst>
          </xdr:cNvPr>
          <xdr:cNvSpPr/>
        </xdr:nvSpPr>
        <xdr:spPr>
          <a:xfrm>
            <a:off x="9017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8" name="$B$1">
            <a:extLst>
              <a:ext uri="{FF2B5EF4-FFF2-40B4-BE49-F238E27FC236}">
                <a16:creationId xmlns:a16="http://schemas.microsoft.com/office/drawing/2014/main" id="{B9EE71ED-27D5-4F2D-B8F3-5BDBB54F6C12}"/>
              </a:ext>
            </a:extLst>
          </xdr:cNvPr>
          <xdr:cNvSpPr/>
        </xdr:nvSpPr>
        <xdr:spPr>
          <a:xfrm>
            <a:off x="9144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9" name="$B$1">
            <a:extLst>
              <a:ext uri="{FF2B5EF4-FFF2-40B4-BE49-F238E27FC236}">
                <a16:creationId xmlns:a16="http://schemas.microsoft.com/office/drawing/2014/main" id="{E9DC7978-477D-49DA-A0FB-F646C76A92A3}"/>
              </a:ext>
            </a:extLst>
          </xdr:cNvPr>
          <xdr:cNvSpPr/>
        </xdr:nvSpPr>
        <xdr:spPr>
          <a:xfrm>
            <a:off x="9271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0" name="$B$1">
            <a:extLst>
              <a:ext uri="{FF2B5EF4-FFF2-40B4-BE49-F238E27FC236}">
                <a16:creationId xmlns:a16="http://schemas.microsoft.com/office/drawing/2014/main" id="{5318F773-327F-41F2-A7DE-7263E8F35057}"/>
              </a:ext>
            </a:extLst>
          </xdr:cNvPr>
          <xdr:cNvSpPr/>
        </xdr:nvSpPr>
        <xdr:spPr>
          <a:xfrm>
            <a:off x="9398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1" name="$B$1">
            <a:extLst>
              <a:ext uri="{FF2B5EF4-FFF2-40B4-BE49-F238E27FC236}">
                <a16:creationId xmlns:a16="http://schemas.microsoft.com/office/drawing/2014/main" id="{FE92A476-2C31-4BE7-9857-B932D1048539}"/>
              </a:ext>
            </a:extLst>
          </xdr:cNvPr>
          <xdr:cNvSpPr/>
        </xdr:nvSpPr>
        <xdr:spPr>
          <a:xfrm>
            <a:off x="9525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2" name="$B$1">
            <a:extLst>
              <a:ext uri="{FF2B5EF4-FFF2-40B4-BE49-F238E27FC236}">
                <a16:creationId xmlns:a16="http://schemas.microsoft.com/office/drawing/2014/main" id="{56DBAB02-F1DA-4C77-957C-FE9CD922F8F9}"/>
              </a:ext>
            </a:extLst>
          </xdr:cNvPr>
          <xdr:cNvSpPr/>
        </xdr:nvSpPr>
        <xdr:spPr>
          <a:xfrm>
            <a:off x="9779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3" name="$B$1">
            <a:extLst>
              <a:ext uri="{FF2B5EF4-FFF2-40B4-BE49-F238E27FC236}">
                <a16:creationId xmlns:a16="http://schemas.microsoft.com/office/drawing/2014/main" id="{62214944-CD23-4FEA-BD3B-47BA92172E36}"/>
              </a:ext>
            </a:extLst>
          </xdr:cNvPr>
          <xdr:cNvSpPr/>
        </xdr:nvSpPr>
        <xdr:spPr>
          <a:xfrm>
            <a:off x="10287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4" name="$B$1">
            <a:extLst>
              <a:ext uri="{FF2B5EF4-FFF2-40B4-BE49-F238E27FC236}">
                <a16:creationId xmlns:a16="http://schemas.microsoft.com/office/drawing/2014/main" id="{B7988087-9473-4435-9C3B-A8439E0CE02A}"/>
              </a:ext>
            </a:extLst>
          </xdr:cNvPr>
          <xdr:cNvSpPr/>
        </xdr:nvSpPr>
        <xdr:spPr>
          <a:xfrm>
            <a:off x="10541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5" name="$B$1">
            <a:extLst>
              <a:ext uri="{FF2B5EF4-FFF2-40B4-BE49-F238E27FC236}">
                <a16:creationId xmlns:a16="http://schemas.microsoft.com/office/drawing/2014/main" id="{74DF6C03-AE55-4259-91C7-911C536424F4}"/>
              </a:ext>
            </a:extLst>
          </xdr:cNvPr>
          <xdr:cNvSpPr/>
        </xdr:nvSpPr>
        <xdr:spPr>
          <a:xfrm>
            <a:off x="10922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6" name="$B$1">
            <a:extLst>
              <a:ext uri="{FF2B5EF4-FFF2-40B4-BE49-F238E27FC236}">
                <a16:creationId xmlns:a16="http://schemas.microsoft.com/office/drawing/2014/main" id="{6AD3DEF6-5714-442B-9C60-997EBDB85C32}"/>
              </a:ext>
            </a:extLst>
          </xdr:cNvPr>
          <xdr:cNvSpPr/>
        </xdr:nvSpPr>
        <xdr:spPr>
          <a:xfrm>
            <a:off x="127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7" name="$B$1">
            <a:extLst>
              <a:ext uri="{FF2B5EF4-FFF2-40B4-BE49-F238E27FC236}">
                <a16:creationId xmlns:a16="http://schemas.microsoft.com/office/drawing/2014/main" id="{00340E9B-134C-45BC-9DC8-41B1A94A4B14}"/>
              </a:ext>
            </a:extLst>
          </xdr:cNvPr>
          <xdr:cNvSpPr/>
        </xdr:nvSpPr>
        <xdr:spPr>
          <a:xfrm>
            <a:off x="254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8" name="$B$1">
            <a:extLst>
              <a:ext uri="{FF2B5EF4-FFF2-40B4-BE49-F238E27FC236}">
                <a16:creationId xmlns:a16="http://schemas.microsoft.com/office/drawing/2014/main" id="{68F96D8A-050B-4017-865A-A256CA584024}"/>
              </a:ext>
            </a:extLst>
          </xdr:cNvPr>
          <xdr:cNvSpPr/>
        </xdr:nvSpPr>
        <xdr:spPr>
          <a:xfrm>
            <a:off x="381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9" name="$B$1">
            <a:extLst>
              <a:ext uri="{FF2B5EF4-FFF2-40B4-BE49-F238E27FC236}">
                <a16:creationId xmlns:a16="http://schemas.microsoft.com/office/drawing/2014/main" id="{D5984E81-0ABB-493F-BC06-57CDE1BE81AA}"/>
              </a:ext>
            </a:extLst>
          </xdr:cNvPr>
          <xdr:cNvSpPr/>
        </xdr:nvSpPr>
        <xdr:spPr>
          <a:xfrm>
            <a:off x="508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0" name="$B$1">
            <a:extLst>
              <a:ext uri="{FF2B5EF4-FFF2-40B4-BE49-F238E27FC236}">
                <a16:creationId xmlns:a16="http://schemas.microsoft.com/office/drawing/2014/main" id="{80DB0B75-F983-4F8C-A017-A96CC411923C}"/>
              </a:ext>
            </a:extLst>
          </xdr:cNvPr>
          <xdr:cNvSpPr/>
        </xdr:nvSpPr>
        <xdr:spPr>
          <a:xfrm>
            <a:off x="635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1" name="$B$1">
            <a:extLst>
              <a:ext uri="{FF2B5EF4-FFF2-40B4-BE49-F238E27FC236}">
                <a16:creationId xmlns:a16="http://schemas.microsoft.com/office/drawing/2014/main" id="{3C2D4E35-D2B3-432B-BEFA-CDA1A8B891B0}"/>
              </a:ext>
            </a:extLst>
          </xdr:cNvPr>
          <xdr:cNvSpPr/>
        </xdr:nvSpPr>
        <xdr:spPr>
          <a:xfrm>
            <a:off x="762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2" name="$B$1">
            <a:extLst>
              <a:ext uri="{FF2B5EF4-FFF2-40B4-BE49-F238E27FC236}">
                <a16:creationId xmlns:a16="http://schemas.microsoft.com/office/drawing/2014/main" id="{88DD5AB4-C557-4B42-A06E-7E1C64766124}"/>
              </a:ext>
            </a:extLst>
          </xdr:cNvPr>
          <xdr:cNvSpPr/>
        </xdr:nvSpPr>
        <xdr:spPr>
          <a:xfrm>
            <a:off x="889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3" name="$B$1">
            <a:extLst>
              <a:ext uri="{FF2B5EF4-FFF2-40B4-BE49-F238E27FC236}">
                <a16:creationId xmlns:a16="http://schemas.microsoft.com/office/drawing/2014/main" id="{4D509F3B-C313-432C-80E7-4E0CE91E441B}"/>
              </a:ext>
            </a:extLst>
          </xdr:cNvPr>
          <xdr:cNvSpPr/>
        </xdr:nvSpPr>
        <xdr:spPr>
          <a:xfrm>
            <a:off x="1016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4" name="$B$1">
            <a:extLst>
              <a:ext uri="{FF2B5EF4-FFF2-40B4-BE49-F238E27FC236}">
                <a16:creationId xmlns:a16="http://schemas.microsoft.com/office/drawing/2014/main" id="{D8E7A9CC-6358-44F9-997A-E7F20C9192ED}"/>
              </a:ext>
            </a:extLst>
          </xdr:cNvPr>
          <xdr:cNvSpPr/>
        </xdr:nvSpPr>
        <xdr:spPr>
          <a:xfrm>
            <a:off x="1270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5" name="$B$1">
            <a:extLst>
              <a:ext uri="{FF2B5EF4-FFF2-40B4-BE49-F238E27FC236}">
                <a16:creationId xmlns:a16="http://schemas.microsoft.com/office/drawing/2014/main" id="{63A7E2FA-E486-4D19-A145-E660250C57F9}"/>
              </a:ext>
            </a:extLst>
          </xdr:cNvPr>
          <xdr:cNvSpPr/>
        </xdr:nvSpPr>
        <xdr:spPr>
          <a:xfrm>
            <a:off x="1524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6" name="$B$1">
            <a:extLst>
              <a:ext uri="{FF2B5EF4-FFF2-40B4-BE49-F238E27FC236}">
                <a16:creationId xmlns:a16="http://schemas.microsoft.com/office/drawing/2014/main" id="{5C93AF02-4918-47A0-A605-9354F14093F6}"/>
              </a:ext>
            </a:extLst>
          </xdr:cNvPr>
          <xdr:cNvSpPr/>
        </xdr:nvSpPr>
        <xdr:spPr>
          <a:xfrm>
            <a:off x="1778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7" name="$B$1">
            <a:extLst>
              <a:ext uri="{FF2B5EF4-FFF2-40B4-BE49-F238E27FC236}">
                <a16:creationId xmlns:a16="http://schemas.microsoft.com/office/drawing/2014/main" id="{78836224-0575-45A2-A26B-26D459E7281B}"/>
              </a:ext>
            </a:extLst>
          </xdr:cNvPr>
          <xdr:cNvSpPr/>
        </xdr:nvSpPr>
        <xdr:spPr>
          <a:xfrm>
            <a:off x="2286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8" name="$B$1">
            <a:extLst>
              <a:ext uri="{FF2B5EF4-FFF2-40B4-BE49-F238E27FC236}">
                <a16:creationId xmlns:a16="http://schemas.microsoft.com/office/drawing/2014/main" id="{C7EC619C-BAF6-4841-A6E7-3059009ECC8F}"/>
              </a:ext>
            </a:extLst>
          </xdr:cNvPr>
          <xdr:cNvSpPr/>
        </xdr:nvSpPr>
        <xdr:spPr>
          <a:xfrm>
            <a:off x="2413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9" name="$B$1">
            <a:extLst>
              <a:ext uri="{FF2B5EF4-FFF2-40B4-BE49-F238E27FC236}">
                <a16:creationId xmlns:a16="http://schemas.microsoft.com/office/drawing/2014/main" id="{994397E9-BB29-4834-8654-49755CB0A8FA}"/>
              </a:ext>
            </a:extLst>
          </xdr:cNvPr>
          <xdr:cNvSpPr/>
        </xdr:nvSpPr>
        <xdr:spPr>
          <a:xfrm>
            <a:off x="2540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0" name="$B$1">
            <a:extLst>
              <a:ext uri="{FF2B5EF4-FFF2-40B4-BE49-F238E27FC236}">
                <a16:creationId xmlns:a16="http://schemas.microsoft.com/office/drawing/2014/main" id="{F7C420A6-0846-4E5C-8825-987F9D74A3F1}"/>
              </a:ext>
            </a:extLst>
          </xdr:cNvPr>
          <xdr:cNvSpPr/>
        </xdr:nvSpPr>
        <xdr:spPr>
          <a:xfrm>
            <a:off x="2667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1" name="$B$1">
            <a:extLst>
              <a:ext uri="{FF2B5EF4-FFF2-40B4-BE49-F238E27FC236}">
                <a16:creationId xmlns:a16="http://schemas.microsoft.com/office/drawing/2014/main" id="{786423B2-083B-4342-ADC2-B54210C81FF7}"/>
              </a:ext>
            </a:extLst>
          </xdr:cNvPr>
          <xdr:cNvSpPr/>
        </xdr:nvSpPr>
        <xdr:spPr>
          <a:xfrm>
            <a:off x="2794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2" name="$B$1">
            <a:extLst>
              <a:ext uri="{FF2B5EF4-FFF2-40B4-BE49-F238E27FC236}">
                <a16:creationId xmlns:a16="http://schemas.microsoft.com/office/drawing/2014/main" id="{3C9C09A7-7E36-43D4-938C-1558BF7CD96C}"/>
              </a:ext>
            </a:extLst>
          </xdr:cNvPr>
          <xdr:cNvSpPr/>
        </xdr:nvSpPr>
        <xdr:spPr>
          <a:xfrm>
            <a:off x="3048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3" name="$B$1">
            <a:extLst>
              <a:ext uri="{FF2B5EF4-FFF2-40B4-BE49-F238E27FC236}">
                <a16:creationId xmlns:a16="http://schemas.microsoft.com/office/drawing/2014/main" id="{1729942C-5A16-4288-AEC7-FA42DCBC255E}"/>
              </a:ext>
            </a:extLst>
          </xdr:cNvPr>
          <xdr:cNvSpPr/>
        </xdr:nvSpPr>
        <xdr:spPr>
          <a:xfrm>
            <a:off x="3556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4" name="$B$1">
            <a:extLst>
              <a:ext uri="{FF2B5EF4-FFF2-40B4-BE49-F238E27FC236}">
                <a16:creationId xmlns:a16="http://schemas.microsoft.com/office/drawing/2014/main" id="{842EA671-D9B0-47B3-90EB-E40939953F63}"/>
              </a:ext>
            </a:extLst>
          </xdr:cNvPr>
          <xdr:cNvSpPr/>
        </xdr:nvSpPr>
        <xdr:spPr>
          <a:xfrm>
            <a:off x="4064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5" name="$B$1">
            <a:extLst>
              <a:ext uri="{FF2B5EF4-FFF2-40B4-BE49-F238E27FC236}">
                <a16:creationId xmlns:a16="http://schemas.microsoft.com/office/drawing/2014/main" id="{F3D9A825-B70E-4136-9101-575E19893BBE}"/>
              </a:ext>
            </a:extLst>
          </xdr:cNvPr>
          <xdr:cNvSpPr/>
        </xdr:nvSpPr>
        <xdr:spPr>
          <a:xfrm>
            <a:off x="4191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6" name="$B$1">
            <a:extLst>
              <a:ext uri="{FF2B5EF4-FFF2-40B4-BE49-F238E27FC236}">
                <a16:creationId xmlns:a16="http://schemas.microsoft.com/office/drawing/2014/main" id="{A723378F-2F4F-430C-A165-BA814054F40E}"/>
              </a:ext>
            </a:extLst>
          </xdr:cNvPr>
          <xdr:cNvSpPr/>
        </xdr:nvSpPr>
        <xdr:spPr>
          <a:xfrm>
            <a:off x="4445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7" name="$B$1">
            <a:extLst>
              <a:ext uri="{FF2B5EF4-FFF2-40B4-BE49-F238E27FC236}">
                <a16:creationId xmlns:a16="http://schemas.microsoft.com/office/drawing/2014/main" id="{AAD33250-0038-4485-BFFE-69D201EA3645}"/>
              </a:ext>
            </a:extLst>
          </xdr:cNvPr>
          <xdr:cNvSpPr/>
        </xdr:nvSpPr>
        <xdr:spPr>
          <a:xfrm>
            <a:off x="4572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8" name="$B$1">
            <a:extLst>
              <a:ext uri="{FF2B5EF4-FFF2-40B4-BE49-F238E27FC236}">
                <a16:creationId xmlns:a16="http://schemas.microsoft.com/office/drawing/2014/main" id="{9CDF8692-42F4-49E7-95B5-86B360D3CDDD}"/>
              </a:ext>
            </a:extLst>
          </xdr:cNvPr>
          <xdr:cNvSpPr/>
        </xdr:nvSpPr>
        <xdr:spPr>
          <a:xfrm>
            <a:off x="4699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9" name="$B$1">
            <a:extLst>
              <a:ext uri="{FF2B5EF4-FFF2-40B4-BE49-F238E27FC236}">
                <a16:creationId xmlns:a16="http://schemas.microsoft.com/office/drawing/2014/main" id="{5AB72C2C-B4C4-4AEC-9B70-51CE60FDDDDB}"/>
              </a:ext>
            </a:extLst>
          </xdr:cNvPr>
          <xdr:cNvSpPr/>
        </xdr:nvSpPr>
        <xdr:spPr>
          <a:xfrm>
            <a:off x="5461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0" name="$B$1">
            <a:extLst>
              <a:ext uri="{FF2B5EF4-FFF2-40B4-BE49-F238E27FC236}">
                <a16:creationId xmlns:a16="http://schemas.microsoft.com/office/drawing/2014/main" id="{19D59761-9FD9-495B-9E2C-754184053C32}"/>
              </a:ext>
            </a:extLst>
          </xdr:cNvPr>
          <xdr:cNvSpPr/>
        </xdr:nvSpPr>
        <xdr:spPr>
          <a:xfrm>
            <a:off x="5715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1" name="$B$1">
            <a:extLst>
              <a:ext uri="{FF2B5EF4-FFF2-40B4-BE49-F238E27FC236}">
                <a16:creationId xmlns:a16="http://schemas.microsoft.com/office/drawing/2014/main" id="{1AB8F60E-00B7-4144-9A40-B2F9F0FAD7F5}"/>
              </a:ext>
            </a:extLst>
          </xdr:cNvPr>
          <xdr:cNvSpPr/>
        </xdr:nvSpPr>
        <xdr:spPr>
          <a:xfrm>
            <a:off x="5842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2" name="$B$1">
            <a:extLst>
              <a:ext uri="{FF2B5EF4-FFF2-40B4-BE49-F238E27FC236}">
                <a16:creationId xmlns:a16="http://schemas.microsoft.com/office/drawing/2014/main" id="{4479DBA0-D129-4B1D-AD4B-353BBF3BE7E7}"/>
              </a:ext>
            </a:extLst>
          </xdr:cNvPr>
          <xdr:cNvSpPr/>
        </xdr:nvSpPr>
        <xdr:spPr>
          <a:xfrm>
            <a:off x="6096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3" name="$B$1">
            <a:extLst>
              <a:ext uri="{FF2B5EF4-FFF2-40B4-BE49-F238E27FC236}">
                <a16:creationId xmlns:a16="http://schemas.microsoft.com/office/drawing/2014/main" id="{7E4C896B-5E66-4F44-A0E6-058826D5FEF6}"/>
              </a:ext>
            </a:extLst>
          </xdr:cNvPr>
          <xdr:cNvSpPr/>
        </xdr:nvSpPr>
        <xdr:spPr>
          <a:xfrm>
            <a:off x="6604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4" name="$B$1">
            <a:extLst>
              <a:ext uri="{FF2B5EF4-FFF2-40B4-BE49-F238E27FC236}">
                <a16:creationId xmlns:a16="http://schemas.microsoft.com/office/drawing/2014/main" id="{798050E3-4360-4005-8FAB-3DF75C0A90AC}"/>
              </a:ext>
            </a:extLst>
          </xdr:cNvPr>
          <xdr:cNvSpPr/>
        </xdr:nvSpPr>
        <xdr:spPr>
          <a:xfrm>
            <a:off x="6731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5" name="$B$1">
            <a:extLst>
              <a:ext uri="{FF2B5EF4-FFF2-40B4-BE49-F238E27FC236}">
                <a16:creationId xmlns:a16="http://schemas.microsoft.com/office/drawing/2014/main" id="{CE3F5E2B-D534-429A-8BBA-9CDF0DE75AA5}"/>
              </a:ext>
            </a:extLst>
          </xdr:cNvPr>
          <xdr:cNvSpPr/>
        </xdr:nvSpPr>
        <xdr:spPr>
          <a:xfrm>
            <a:off x="6858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6" name="$B$1">
            <a:extLst>
              <a:ext uri="{FF2B5EF4-FFF2-40B4-BE49-F238E27FC236}">
                <a16:creationId xmlns:a16="http://schemas.microsoft.com/office/drawing/2014/main" id="{BD7A8392-0AE8-4BF2-A1DD-8DEB82DB72CA}"/>
              </a:ext>
            </a:extLst>
          </xdr:cNvPr>
          <xdr:cNvSpPr/>
        </xdr:nvSpPr>
        <xdr:spPr>
          <a:xfrm>
            <a:off x="6985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7" name="$B$1">
            <a:extLst>
              <a:ext uri="{FF2B5EF4-FFF2-40B4-BE49-F238E27FC236}">
                <a16:creationId xmlns:a16="http://schemas.microsoft.com/office/drawing/2014/main" id="{1C03734C-DEB7-4F64-990D-B809971E72C4}"/>
              </a:ext>
            </a:extLst>
          </xdr:cNvPr>
          <xdr:cNvSpPr/>
        </xdr:nvSpPr>
        <xdr:spPr>
          <a:xfrm>
            <a:off x="7239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8" name="$B$1">
            <a:extLst>
              <a:ext uri="{FF2B5EF4-FFF2-40B4-BE49-F238E27FC236}">
                <a16:creationId xmlns:a16="http://schemas.microsoft.com/office/drawing/2014/main" id="{459B2F40-79C0-4700-B854-78EDA7C30AF4}"/>
              </a:ext>
            </a:extLst>
          </xdr:cNvPr>
          <xdr:cNvSpPr/>
        </xdr:nvSpPr>
        <xdr:spPr>
          <a:xfrm>
            <a:off x="7747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9" name="$B$1">
            <a:extLst>
              <a:ext uri="{FF2B5EF4-FFF2-40B4-BE49-F238E27FC236}">
                <a16:creationId xmlns:a16="http://schemas.microsoft.com/office/drawing/2014/main" id="{9CE72A86-3B0F-46D9-A79C-FB5B7F5274F5}"/>
              </a:ext>
            </a:extLst>
          </xdr:cNvPr>
          <xdr:cNvSpPr/>
        </xdr:nvSpPr>
        <xdr:spPr>
          <a:xfrm>
            <a:off x="8128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0" name="$B$1">
            <a:extLst>
              <a:ext uri="{FF2B5EF4-FFF2-40B4-BE49-F238E27FC236}">
                <a16:creationId xmlns:a16="http://schemas.microsoft.com/office/drawing/2014/main" id="{5C7EFCAE-5C9C-47DE-A8C8-E7AB145940A4}"/>
              </a:ext>
            </a:extLst>
          </xdr:cNvPr>
          <xdr:cNvSpPr/>
        </xdr:nvSpPr>
        <xdr:spPr>
          <a:xfrm>
            <a:off x="8763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1" name="$B$1">
            <a:extLst>
              <a:ext uri="{FF2B5EF4-FFF2-40B4-BE49-F238E27FC236}">
                <a16:creationId xmlns:a16="http://schemas.microsoft.com/office/drawing/2014/main" id="{22A6786A-4BBB-4AE0-A810-F846E235589D}"/>
              </a:ext>
            </a:extLst>
          </xdr:cNvPr>
          <xdr:cNvSpPr/>
        </xdr:nvSpPr>
        <xdr:spPr>
          <a:xfrm>
            <a:off x="8890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2" name="$B$1">
            <a:extLst>
              <a:ext uri="{FF2B5EF4-FFF2-40B4-BE49-F238E27FC236}">
                <a16:creationId xmlns:a16="http://schemas.microsoft.com/office/drawing/2014/main" id="{B701C449-F1ED-41A3-80ED-096F9DE1DAAA}"/>
              </a:ext>
            </a:extLst>
          </xdr:cNvPr>
          <xdr:cNvSpPr/>
        </xdr:nvSpPr>
        <xdr:spPr>
          <a:xfrm>
            <a:off x="9017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3" name="$B$1">
            <a:extLst>
              <a:ext uri="{FF2B5EF4-FFF2-40B4-BE49-F238E27FC236}">
                <a16:creationId xmlns:a16="http://schemas.microsoft.com/office/drawing/2014/main" id="{EA7144E0-18F0-44A1-81E5-D4FC4CC411F1}"/>
              </a:ext>
            </a:extLst>
          </xdr:cNvPr>
          <xdr:cNvSpPr/>
        </xdr:nvSpPr>
        <xdr:spPr>
          <a:xfrm>
            <a:off x="9144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4" name="$B$1">
            <a:extLst>
              <a:ext uri="{FF2B5EF4-FFF2-40B4-BE49-F238E27FC236}">
                <a16:creationId xmlns:a16="http://schemas.microsoft.com/office/drawing/2014/main" id="{80BE3D98-126D-4BAD-A00B-4E1EF8978D6A}"/>
              </a:ext>
            </a:extLst>
          </xdr:cNvPr>
          <xdr:cNvSpPr/>
        </xdr:nvSpPr>
        <xdr:spPr>
          <a:xfrm>
            <a:off x="9271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5" name="$B$1">
            <a:extLst>
              <a:ext uri="{FF2B5EF4-FFF2-40B4-BE49-F238E27FC236}">
                <a16:creationId xmlns:a16="http://schemas.microsoft.com/office/drawing/2014/main" id="{D2773CCF-A278-450B-8165-516525FD287A}"/>
              </a:ext>
            </a:extLst>
          </xdr:cNvPr>
          <xdr:cNvSpPr/>
        </xdr:nvSpPr>
        <xdr:spPr>
          <a:xfrm>
            <a:off x="9398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6" name="$B$1">
            <a:extLst>
              <a:ext uri="{FF2B5EF4-FFF2-40B4-BE49-F238E27FC236}">
                <a16:creationId xmlns:a16="http://schemas.microsoft.com/office/drawing/2014/main" id="{7192256E-60F6-4BC2-B943-BE6C5E2C690F}"/>
              </a:ext>
            </a:extLst>
          </xdr:cNvPr>
          <xdr:cNvSpPr/>
        </xdr:nvSpPr>
        <xdr:spPr>
          <a:xfrm>
            <a:off x="9525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7" name="$B$1">
            <a:extLst>
              <a:ext uri="{FF2B5EF4-FFF2-40B4-BE49-F238E27FC236}">
                <a16:creationId xmlns:a16="http://schemas.microsoft.com/office/drawing/2014/main" id="{97A5D8C3-531A-45C6-A306-1BDA0B50385B}"/>
              </a:ext>
            </a:extLst>
          </xdr:cNvPr>
          <xdr:cNvSpPr/>
        </xdr:nvSpPr>
        <xdr:spPr>
          <a:xfrm>
            <a:off x="9779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8" name="$B$1">
            <a:extLst>
              <a:ext uri="{FF2B5EF4-FFF2-40B4-BE49-F238E27FC236}">
                <a16:creationId xmlns:a16="http://schemas.microsoft.com/office/drawing/2014/main" id="{084C1D2E-D234-4AF3-AF1E-2F66053588A1}"/>
              </a:ext>
            </a:extLst>
          </xdr:cNvPr>
          <xdr:cNvSpPr/>
        </xdr:nvSpPr>
        <xdr:spPr>
          <a:xfrm>
            <a:off x="10287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9" name="$B$1">
            <a:extLst>
              <a:ext uri="{FF2B5EF4-FFF2-40B4-BE49-F238E27FC236}">
                <a16:creationId xmlns:a16="http://schemas.microsoft.com/office/drawing/2014/main" id="{9EC183B0-BEF3-4931-85C2-A9A683730878}"/>
              </a:ext>
            </a:extLst>
          </xdr:cNvPr>
          <xdr:cNvSpPr/>
        </xdr:nvSpPr>
        <xdr:spPr>
          <a:xfrm>
            <a:off x="10541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10" name="$B$1">
            <a:extLst>
              <a:ext uri="{FF2B5EF4-FFF2-40B4-BE49-F238E27FC236}">
                <a16:creationId xmlns:a16="http://schemas.microsoft.com/office/drawing/2014/main" id="{E98E9F3F-3662-4708-BAFA-A30736C99AD6}"/>
              </a:ext>
            </a:extLst>
          </xdr:cNvPr>
          <xdr:cNvSpPr/>
        </xdr:nvSpPr>
        <xdr:spPr>
          <a:xfrm>
            <a:off x="10922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24881</xdr:colOff>
      <xdr:row>1</xdr:row>
      <xdr:rowOff>112933</xdr:rowOff>
    </xdr:from>
    <xdr:to>
      <xdr:col>1</xdr:col>
      <xdr:colOff>2383040</xdr:colOff>
      <xdr:row>1</xdr:row>
      <xdr:rowOff>1327248</xdr:rowOff>
    </xdr:to>
    <xdr:grpSp>
      <xdr:nvGrpSpPr>
        <xdr:cNvPr id="44600" name="$B$2" descr="PDF417 barcode, security 2, nbcol 1, 11x86 cells" title="test">
          <a:extLst>
            <a:ext uri="{FF2B5EF4-FFF2-40B4-BE49-F238E27FC236}">
              <a16:creationId xmlns:a16="http://schemas.microsoft.com/office/drawing/2014/main" id="{5DA2E28E-9D04-4EE6-AC19-CCA253042587}"/>
            </a:ext>
          </a:extLst>
        </xdr:cNvPr>
        <xdr:cNvGrpSpPr>
          <a:grpSpLocks noChangeAspect="1"/>
        </xdr:cNvGrpSpPr>
      </xdr:nvGrpSpPr>
      <xdr:grpSpPr>
        <a:xfrm>
          <a:off x="992621" y="1537873"/>
          <a:ext cx="2358159" cy="1214315"/>
          <a:chOff x="12700" y="0"/>
          <a:chExt cx="1092200" cy="457200"/>
        </a:xfrm>
        <a:solidFill>
          <a:srgbClr val="000000"/>
        </a:solidFill>
      </xdr:grpSpPr>
      <xdr:sp macro="" textlink="">
        <xdr:nvSpPr>
          <xdr:cNvPr id="44012" name="$B$2">
            <a:extLst>
              <a:ext uri="{FF2B5EF4-FFF2-40B4-BE49-F238E27FC236}">
                <a16:creationId xmlns:a16="http://schemas.microsoft.com/office/drawing/2014/main" id="{2D73C4EC-BE49-45E7-B628-AD6B9922C607}"/>
              </a:ext>
            </a:extLst>
          </xdr:cNvPr>
          <xdr:cNvSpPr/>
        </xdr:nvSpPr>
        <xdr:spPr>
          <a:xfrm>
            <a:off x="12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13" name="$B$2">
            <a:extLst>
              <a:ext uri="{FF2B5EF4-FFF2-40B4-BE49-F238E27FC236}">
                <a16:creationId xmlns:a16="http://schemas.microsoft.com/office/drawing/2014/main" id="{D4C2428F-6F25-46B8-8058-B7B97F9924F9}"/>
              </a:ext>
            </a:extLst>
          </xdr:cNvPr>
          <xdr:cNvSpPr/>
        </xdr:nvSpPr>
        <xdr:spPr>
          <a:xfrm>
            <a:off x="25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14" name="$B$2">
            <a:extLst>
              <a:ext uri="{FF2B5EF4-FFF2-40B4-BE49-F238E27FC236}">
                <a16:creationId xmlns:a16="http://schemas.microsoft.com/office/drawing/2014/main" id="{F364A4D3-3A43-4C9C-B88C-731692FA35B1}"/>
              </a:ext>
            </a:extLst>
          </xdr:cNvPr>
          <xdr:cNvSpPr/>
        </xdr:nvSpPr>
        <xdr:spPr>
          <a:xfrm>
            <a:off x="381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15" name="$B$2">
            <a:extLst>
              <a:ext uri="{FF2B5EF4-FFF2-40B4-BE49-F238E27FC236}">
                <a16:creationId xmlns:a16="http://schemas.microsoft.com/office/drawing/2014/main" id="{E1FB1EDF-857F-432E-94C1-37AF0CF13257}"/>
              </a:ext>
            </a:extLst>
          </xdr:cNvPr>
          <xdr:cNvSpPr/>
        </xdr:nvSpPr>
        <xdr:spPr>
          <a:xfrm>
            <a:off x="50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16" name="$B$2">
            <a:extLst>
              <a:ext uri="{FF2B5EF4-FFF2-40B4-BE49-F238E27FC236}">
                <a16:creationId xmlns:a16="http://schemas.microsoft.com/office/drawing/2014/main" id="{355E9943-BE49-4114-AE89-51BA9E75EC17}"/>
              </a:ext>
            </a:extLst>
          </xdr:cNvPr>
          <xdr:cNvSpPr/>
        </xdr:nvSpPr>
        <xdr:spPr>
          <a:xfrm>
            <a:off x="635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17" name="$B$2">
            <a:extLst>
              <a:ext uri="{FF2B5EF4-FFF2-40B4-BE49-F238E27FC236}">
                <a16:creationId xmlns:a16="http://schemas.microsoft.com/office/drawing/2014/main" id="{78BE3A38-BD15-4A75-9DDB-2B40488A26B8}"/>
              </a:ext>
            </a:extLst>
          </xdr:cNvPr>
          <xdr:cNvSpPr/>
        </xdr:nvSpPr>
        <xdr:spPr>
          <a:xfrm>
            <a:off x="762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18" name="$B$2">
            <a:extLst>
              <a:ext uri="{FF2B5EF4-FFF2-40B4-BE49-F238E27FC236}">
                <a16:creationId xmlns:a16="http://schemas.microsoft.com/office/drawing/2014/main" id="{4F467DB7-17D5-4D4E-BE19-4F77AB599EFB}"/>
              </a:ext>
            </a:extLst>
          </xdr:cNvPr>
          <xdr:cNvSpPr/>
        </xdr:nvSpPr>
        <xdr:spPr>
          <a:xfrm>
            <a:off x="889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19" name="$B$2">
            <a:extLst>
              <a:ext uri="{FF2B5EF4-FFF2-40B4-BE49-F238E27FC236}">
                <a16:creationId xmlns:a16="http://schemas.microsoft.com/office/drawing/2014/main" id="{0D602D68-3D20-4107-9115-064E23C18109}"/>
              </a:ext>
            </a:extLst>
          </xdr:cNvPr>
          <xdr:cNvSpPr/>
        </xdr:nvSpPr>
        <xdr:spPr>
          <a:xfrm>
            <a:off x="101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0" name="$B$2">
            <a:extLst>
              <a:ext uri="{FF2B5EF4-FFF2-40B4-BE49-F238E27FC236}">
                <a16:creationId xmlns:a16="http://schemas.microsoft.com/office/drawing/2014/main" id="{A87471F4-4E65-4ED5-89D0-25E3EAD41151}"/>
              </a:ext>
            </a:extLst>
          </xdr:cNvPr>
          <xdr:cNvSpPr/>
        </xdr:nvSpPr>
        <xdr:spPr>
          <a:xfrm>
            <a:off x="127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1" name="$B$2">
            <a:extLst>
              <a:ext uri="{FF2B5EF4-FFF2-40B4-BE49-F238E27FC236}">
                <a16:creationId xmlns:a16="http://schemas.microsoft.com/office/drawing/2014/main" id="{B5582FE5-3A60-4C0F-8FAE-662D7B8C3C4F}"/>
              </a:ext>
            </a:extLst>
          </xdr:cNvPr>
          <xdr:cNvSpPr/>
        </xdr:nvSpPr>
        <xdr:spPr>
          <a:xfrm>
            <a:off x="152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2" name="$B$2">
            <a:extLst>
              <a:ext uri="{FF2B5EF4-FFF2-40B4-BE49-F238E27FC236}">
                <a16:creationId xmlns:a16="http://schemas.microsoft.com/office/drawing/2014/main" id="{3AD49A7E-7679-4699-8E44-160336EB6890}"/>
              </a:ext>
            </a:extLst>
          </xdr:cNvPr>
          <xdr:cNvSpPr/>
        </xdr:nvSpPr>
        <xdr:spPr>
          <a:xfrm>
            <a:off x="177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3" name="$B$2">
            <a:extLst>
              <a:ext uri="{FF2B5EF4-FFF2-40B4-BE49-F238E27FC236}">
                <a16:creationId xmlns:a16="http://schemas.microsoft.com/office/drawing/2014/main" id="{8ACA4AE6-7B83-4893-8EDC-BC562046FBBB}"/>
              </a:ext>
            </a:extLst>
          </xdr:cNvPr>
          <xdr:cNvSpPr/>
        </xdr:nvSpPr>
        <xdr:spPr>
          <a:xfrm>
            <a:off x="228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4" name="$B$2">
            <a:extLst>
              <a:ext uri="{FF2B5EF4-FFF2-40B4-BE49-F238E27FC236}">
                <a16:creationId xmlns:a16="http://schemas.microsoft.com/office/drawing/2014/main" id="{8333F00C-A024-4235-AA02-E744CFD7E955}"/>
              </a:ext>
            </a:extLst>
          </xdr:cNvPr>
          <xdr:cNvSpPr/>
        </xdr:nvSpPr>
        <xdr:spPr>
          <a:xfrm>
            <a:off x="2413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5" name="$B$2">
            <a:extLst>
              <a:ext uri="{FF2B5EF4-FFF2-40B4-BE49-F238E27FC236}">
                <a16:creationId xmlns:a16="http://schemas.microsoft.com/office/drawing/2014/main" id="{ECB3A7A4-ED80-4924-8323-A9BBC0A8B913}"/>
              </a:ext>
            </a:extLst>
          </xdr:cNvPr>
          <xdr:cNvSpPr/>
        </xdr:nvSpPr>
        <xdr:spPr>
          <a:xfrm>
            <a:off x="254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6" name="$B$2">
            <a:extLst>
              <a:ext uri="{FF2B5EF4-FFF2-40B4-BE49-F238E27FC236}">
                <a16:creationId xmlns:a16="http://schemas.microsoft.com/office/drawing/2014/main" id="{7DC6C713-5C4E-46E9-849F-B4C634995440}"/>
              </a:ext>
            </a:extLst>
          </xdr:cNvPr>
          <xdr:cNvSpPr/>
        </xdr:nvSpPr>
        <xdr:spPr>
          <a:xfrm>
            <a:off x="279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7" name="$B$2">
            <a:extLst>
              <a:ext uri="{FF2B5EF4-FFF2-40B4-BE49-F238E27FC236}">
                <a16:creationId xmlns:a16="http://schemas.microsoft.com/office/drawing/2014/main" id="{22FF100A-7AFC-4D9A-BC4B-6026BFEA8DCA}"/>
              </a:ext>
            </a:extLst>
          </xdr:cNvPr>
          <xdr:cNvSpPr/>
        </xdr:nvSpPr>
        <xdr:spPr>
          <a:xfrm>
            <a:off x="304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8" name="$B$2">
            <a:extLst>
              <a:ext uri="{FF2B5EF4-FFF2-40B4-BE49-F238E27FC236}">
                <a16:creationId xmlns:a16="http://schemas.microsoft.com/office/drawing/2014/main" id="{F88B8A69-560C-44FB-A32A-C17B6ECAD463}"/>
              </a:ext>
            </a:extLst>
          </xdr:cNvPr>
          <xdr:cNvSpPr/>
        </xdr:nvSpPr>
        <xdr:spPr>
          <a:xfrm>
            <a:off x="3429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9" name="$B$2">
            <a:extLst>
              <a:ext uri="{FF2B5EF4-FFF2-40B4-BE49-F238E27FC236}">
                <a16:creationId xmlns:a16="http://schemas.microsoft.com/office/drawing/2014/main" id="{072BB29A-8406-40A8-B6EB-D523A8AEDED6}"/>
              </a:ext>
            </a:extLst>
          </xdr:cNvPr>
          <xdr:cNvSpPr/>
        </xdr:nvSpPr>
        <xdr:spPr>
          <a:xfrm>
            <a:off x="355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0" name="$B$2">
            <a:extLst>
              <a:ext uri="{FF2B5EF4-FFF2-40B4-BE49-F238E27FC236}">
                <a16:creationId xmlns:a16="http://schemas.microsoft.com/office/drawing/2014/main" id="{EE8ED49C-E796-403D-A718-5CA17D26C7D6}"/>
              </a:ext>
            </a:extLst>
          </xdr:cNvPr>
          <xdr:cNvSpPr/>
        </xdr:nvSpPr>
        <xdr:spPr>
          <a:xfrm>
            <a:off x="3683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1" name="$B$2">
            <a:extLst>
              <a:ext uri="{FF2B5EF4-FFF2-40B4-BE49-F238E27FC236}">
                <a16:creationId xmlns:a16="http://schemas.microsoft.com/office/drawing/2014/main" id="{014FEBA6-2AC5-4410-BD14-11F119A31272}"/>
              </a:ext>
            </a:extLst>
          </xdr:cNvPr>
          <xdr:cNvSpPr/>
        </xdr:nvSpPr>
        <xdr:spPr>
          <a:xfrm>
            <a:off x="4445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2" name="$B$2">
            <a:extLst>
              <a:ext uri="{FF2B5EF4-FFF2-40B4-BE49-F238E27FC236}">
                <a16:creationId xmlns:a16="http://schemas.microsoft.com/office/drawing/2014/main" id="{AD86D7C3-3778-48E9-B371-F7CB15612F1E}"/>
              </a:ext>
            </a:extLst>
          </xdr:cNvPr>
          <xdr:cNvSpPr/>
        </xdr:nvSpPr>
        <xdr:spPr>
          <a:xfrm>
            <a:off x="4572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3" name="$B$2">
            <a:extLst>
              <a:ext uri="{FF2B5EF4-FFF2-40B4-BE49-F238E27FC236}">
                <a16:creationId xmlns:a16="http://schemas.microsoft.com/office/drawing/2014/main" id="{35000EE8-A862-479F-A247-8585A30ECB4B}"/>
              </a:ext>
            </a:extLst>
          </xdr:cNvPr>
          <xdr:cNvSpPr/>
        </xdr:nvSpPr>
        <xdr:spPr>
          <a:xfrm>
            <a:off x="4699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4" name="$B$2">
            <a:extLst>
              <a:ext uri="{FF2B5EF4-FFF2-40B4-BE49-F238E27FC236}">
                <a16:creationId xmlns:a16="http://schemas.microsoft.com/office/drawing/2014/main" id="{1F4A175A-1183-4169-BC55-3BBE8FCEAC58}"/>
              </a:ext>
            </a:extLst>
          </xdr:cNvPr>
          <xdr:cNvSpPr/>
        </xdr:nvSpPr>
        <xdr:spPr>
          <a:xfrm>
            <a:off x="482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5" name="$B$2">
            <a:extLst>
              <a:ext uri="{FF2B5EF4-FFF2-40B4-BE49-F238E27FC236}">
                <a16:creationId xmlns:a16="http://schemas.microsoft.com/office/drawing/2014/main" id="{7BADD1E3-9ECB-447C-8CB2-5514E10BA043}"/>
              </a:ext>
            </a:extLst>
          </xdr:cNvPr>
          <xdr:cNvSpPr/>
        </xdr:nvSpPr>
        <xdr:spPr>
          <a:xfrm>
            <a:off x="508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6" name="$B$2">
            <a:extLst>
              <a:ext uri="{FF2B5EF4-FFF2-40B4-BE49-F238E27FC236}">
                <a16:creationId xmlns:a16="http://schemas.microsoft.com/office/drawing/2014/main" id="{46A80166-E78F-4C10-804A-066CC5400B71}"/>
              </a:ext>
            </a:extLst>
          </xdr:cNvPr>
          <xdr:cNvSpPr/>
        </xdr:nvSpPr>
        <xdr:spPr>
          <a:xfrm>
            <a:off x="533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7" name="$B$2">
            <a:extLst>
              <a:ext uri="{FF2B5EF4-FFF2-40B4-BE49-F238E27FC236}">
                <a16:creationId xmlns:a16="http://schemas.microsoft.com/office/drawing/2014/main" id="{771659A3-254F-42EE-B30D-5D6D98050EF1}"/>
              </a:ext>
            </a:extLst>
          </xdr:cNvPr>
          <xdr:cNvSpPr/>
        </xdr:nvSpPr>
        <xdr:spPr>
          <a:xfrm>
            <a:off x="5715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8" name="$B$2">
            <a:extLst>
              <a:ext uri="{FF2B5EF4-FFF2-40B4-BE49-F238E27FC236}">
                <a16:creationId xmlns:a16="http://schemas.microsoft.com/office/drawing/2014/main" id="{75732422-1A10-45DE-9208-2EEAC0FFD895}"/>
              </a:ext>
            </a:extLst>
          </xdr:cNvPr>
          <xdr:cNvSpPr/>
        </xdr:nvSpPr>
        <xdr:spPr>
          <a:xfrm>
            <a:off x="5842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9" name="$B$2">
            <a:extLst>
              <a:ext uri="{FF2B5EF4-FFF2-40B4-BE49-F238E27FC236}">
                <a16:creationId xmlns:a16="http://schemas.microsoft.com/office/drawing/2014/main" id="{6FD6F7F9-AEE1-4763-AC67-426015B02822}"/>
              </a:ext>
            </a:extLst>
          </xdr:cNvPr>
          <xdr:cNvSpPr/>
        </xdr:nvSpPr>
        <xdr:spPr>
          <a:xfrm>
            <a:off x="5969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0" name="$B$2">
            <a:extLst>
              <a:ext uri="{FF2B5EF4-FFF2-40B4-BE49-F238E27FC236}">
                <a16:creationId xmlns:a16="http://schemas.microsoft.com/office/drawing/2014/main" id="{30C00F76-6F77-4FF6-8EDD-B6DE7E7A38CA}"/>
              </a:ext>
            </a:extLst>
          </xdr:cNvPr>
          <xdr:cNvSpPr/>
        </xdr:nvSpPr>
        <xdr:spPr>
          <a:xfrm>
            <a:off x="609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1" name="$B$2">
            <a:extLst>
              <a:ext uri="{FF2B5EF4-FFF2-40B4-BE49-F238E27FC236}">
                <a16:creationId xmlns:a16="http://schemas.microsoft.com/office/drawing/2014/main" id="{4D4B8B7E-6405-4F42-A778-1723CD3D2329}"/>
              </a:ext>
            </a:extLst>
          </xdr:cNvPr>
          <xdr:cNvSpPr/>
        </xdr:nvSpPr>
        <xdr:spPr>
          <a:xfrm>
            <a:off x="660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2" name="$B$2">
            <a:extLst>
              <a:ext uri="{FF2B5EF4-FFF2-40B4-BE49-F238E27FC236}">
                <a16:creationId xmlns:a16="http://schemas.microsoft.com/office/drawing/2014/main" id="{5E584D0F-4961-40B5-8423-55143BBC4A94}"/>
              </a:ext>
            </a:extLst>
          </xdr:cNvPr>
          <xdr:cNvSpPr/>
        </xdr:nvSpPr>
        <xdr:spPr>
          <a:xfrm>
            <a:off x="6731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3" name="$B$2">
            <a:extLst>
              <a:ext uri="{FF2B5EF4-FFF2-40B4-BE49-F238E27FC236}">
                <a16:creationId xmlns:a16="http://schemas.microsoft.com/office/drawing/2014/main" id="{E6D83134-C83A-4E66-98E3-80A2A43E8109}"/>
              </a:ext>
            </a:extLst>
          </xdr:cNvPr>
          <xdr:cNvSpPr/>
        </xdr:nvSpPr>
        <xdr:spPr>
          <a:xfrm>
            <a:off x="685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4" name="$B$2">
            <a:extLst>
              <a:ext uri="{FF2B5EF4-FFF2-40B4-BE49-F238E27FC236}">
                <a16:creationId xmlns:a16="http://schemas.microsoft.com/office/drawing/2014/main" id="{D8A10958-DA58-4B07-A576-59B066465930}"/>
              </a:ext>
            </a:extLst>
          </xdr:cNvPr>
          <xdr:cNvSpPr/>
        </xdr:nvSpPr>
        <xdr:spPr>
          <a:xfrm>
            <a:off x="7112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5" name="$B$2">
            <a:extLst>
              <a:ext uri="{FF2B5EF4-FFF2-40B4-BE49-F238E27FC236}">
                <a16:creationId xmlns:a16="http://schemas.microsoft.com/office/drawing/2014/main" id="{5E68E948-1109-4D34-B92D-C1D2FCBB32A5}"/>
              </a:ext>
            </a:extLst>
          </xdr:cNvPr>
          <xdr:cNvSpPr/>
        </xdr:nvSpPr>
        <xdr:spPr>
          <a:xfrm>
            <a:off x="736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6" name="$B$2">
            <a:extLst>
              <a:ext uri="{FF2B5EF4-FFF2-40B4-BE49-F238E27FC236}">
                <a16:creationId xmlns:a16="http://schemas.microsoft.com/office/drawing/2014/main" id="{A32BCF8F-6053-4524-B729-8CFCA2EC0409}"/>
              </a:ext>
            </a:extLst>
          </xdr:cNvPr>
          <xdr:cNvSpPr/>
        </xdr:nvSpPr>
        <xdr:spPr>
          <a:xfrm>
            <a:off x="762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7" name="$B$2">
            <a:extLst>
              <a:ext uri="{FF2B5EF4-FFF2-40B4-BE49-F238E27FC236}">
                <a16:creationId xmlns:a16="http://schemas.microsoft.com/office/drawing/2014/main" id="{9E38C6C8-0796-4ED7-8C47-0178BDE32149}"/>
              </a:ext>
            </a:extLst>
          </xdr:cNvPr>
          <xdr:cNvSpPr/>
        </xdr:nvSpPr>
        <xdr:spPr>
          <a:xfrm>
            <a:off x="774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8" name="$B$2">
            <a:extLst>
              <a:ext uri="{FF2B5EF4-FFF2-40B4-BE49-F238E27FC236}">
                <a16:creationId xmlns:a16="http://schemas.microsoft.com/office/drawing/2014/main" id="{F1F3649B-2E91-4D33-8B43-FBE8950AF029}"/>
              </a:ext>
            </a:extLst>
          </xdr:cNvPr>
          <xdr:cNvSpPr/>
        </xdr:nvSpPr>
        <xdr:spPr>
          <a:xfrm>
            <a:off x="787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9" name="$B$2">
            <a:extLst>
              <a:ext uri="{FF2B5EF4-FFF2-40B4-BE49-F238E27FC236}">
                <a16:creationId xmlns:a16="http://schemas.microsoft.com/office/drawing/2014/main" id="{60C1D245-13A3-4ADD-BF73-0F34F251EB77}"/>
              </a:ext>
            </a:extLst>
          </xdr:cNvPr>
          <xdr:cNvSpPr/>
        </xdr:nvSpPr>
        <xdr:spPr>
          <a:xfrm>
            <a:off x="8763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0" name="$B$2">
            <a:extLst>
              <a:ext uri="{FF2B5EF4-FFF2-40B4-BE49-F238E27FC236}">
                <a16:creationId xmlns:a16="http://schemas.microsoft.com/office/drawing/2014/main" id="{30D740DC-D109-4451-A02D-3D7FA5DCC0CD}"/>
              </a:ext>
            </a:extLst>
          </xdr:cNvPr>
          <xdr:cNvSpPr/>
        </xdr:nvSpPr>
        <xdr:spPr>
          <a:xfrm>
            <a:off x="889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1" name="$B$2">
            <a:extLst>
              <a:ext uri="{FF2B5EF4-FFF2-40B4-BE49-F238E27FC236}">
                <a16:creationId xmlns:a16="http://schemas.microsoft.com/office/drawing/2014/main" id="{D9C1CFDA-9AB2-48DA-A746-7008B06F99C8}"/>
              </a:ext>
            </a:extLst>
          </xdr:cNvPr>
          <xdr:cNvSpPr/>
        </xdr:nvSpPr>
        <xdr:spPr>
          <a:xfrm>
            <a:off x="901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2" name="$B$2">
            <a:extLst>
              <a:ext uri="{FF2B5EF4-FFF2-40B4-BE49-F238E27FC236}">
                <a16:creationId xmlns:a16="http://schemas.microsoft.com/office/drawing/2014/main" id="{18238DD5-3B74-4729-A0D6-9AD9FA8C0DE1}"/>
              </a:ext>
            </a:extLst>
          </xdr:cNvPr>
          <xdr:cNvSpPr/>
        </xdr:nvSpPr>
        <xdr:spPr>
          <a:xfrm>
            <a:off x="914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3" name="$B$2">
            <a:extLst>
              <a:ext uri="{FF2B5EF4-FFF2-40B4-BE49-F238E27FC236}">
                <a16:creationId xmlns:a16="http://schemas.microsoft.com/office/drawing/2014/main" id="{4D2EA8FC-5382-47AF-B739-F7A8295B3B41}"/>
              </a:ext>
            </a:extLst>
          </xdr:cNvPr>
          <xdr:cNvSpPr/>
        </xdr:nvSpPr>
        <xdr:spPr>
          <a:xfrm>
            <a:off x="9271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4" name="$B$2">
            <a:extLst>
              <a:ext uri="{FF2B5EF4-FFF2-40B4-BE49-F238E27FC236}">
                <a16:creationId xmlns:a16="http://schemas.microsoft.com/office/drawing/2014/main" id="{4E99EB76-BB45-4D4D-99BD-CFCB2A783B5D}"/>
              </a:ext>
            </a:extLst>
          </xdr:cNvPr>
          <xdr:cNvSpPr/>
        </xdr:nvSpPr>
        <xdr:spPr>
          <a:xfrm>
            <a:off x="939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5" name="$B$2">
            <a:extLst>
              <a:ext uri="{FF2B5EF4-FFF2-40B4-BE49-F238E27FC236}">
                <a16:creationId xmlns:a16="http://schemas.microsoft.com/office/drawing/2014/main" id="{688C4010-43D8-4A5E-8F00-B63F14EC2ADC}"/>
              </a:ext>
            </a:extLst>
          </xdr:cNvPr>
          <xdr:cNvSpPr/>
        </xdr:nvSpPr>
        <xdr:spPr>
          <a:xfrm>
            <a:off x="9525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6" name="$B$2">
            <a:extLst>
              <a:ext uri="{FF2B5EF4-FFF2-40B4-BE49-F238E27FC236}">
                <a16:creationId xmlns:a16="http://schemas.microsoft.com/office/drawing/2014/main" id="{891335C6-9225-43EB-8456-449602BACC97}"/>
              </a:ext>
            </a:extLst>
          </xdr:cNvPr>
          <xdr:cNvSpPr/>
        </xdr:nvSpPr>
        <xdr:spPr>
          <a:xfrm>
            <a:off x="9779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7" name="$B$2">
            <a:extLst>
              <a:ext uri="{FF2B5EF4-FFF2-40B4-BE49-F238E27FC236}">
                <a16:creationId xmlns:a16="http://schemas.microsoft.com/office/drawing/2014/main" id="{9DE8DC85-7FD5-491D-9BC4-698DD9A3B653}"/>
              </a:ext>
            </a:extLst>
          </xdr:cNvPr>
          <xdr:cNvSpPr/>
        </xdr:nvSpPr>
        <xdr:spPr>
          <a:xfrm>
            <a:off x="1028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8" name="$B$2">
            <a:extLst>
              <a:ext uri="{FF2B5EF4-FFF2-40B4-BE49-F238E27FC236}">
                <a16:creationId xmlns:a16="http://schemas.microsoft.com/office/drawing/2014/main" id="{AC450BA5-DF68-4C7A-B15A-FB3F2E248034}"/>
              </a:ext>
            </a:extLst>
          </xdr:cNvPr>
          <xdr:cNvSpPr/>
        </xdr:nvSpPr>
        <xdr:spPr>
          <a:xfrm>
            <a:off x="10541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9" name="$B$2">
            <a:extLst>
              <a:ext uri="{FF2B5EF4-FFF2-40B4-BE49-F238E27FC236}">
                <a16:creationId xmlns:a16="http://schemas.microsoft.com/office/drawing/2014/main" id="{918E84F9-0F81-42B3-A515-57CDF3924D0D}"/>
              </a:ext>
            </a:extLst>
          </xdr:cNvPr>
          <xdr:cNvSpPr/>
        </xdr:nvSpPr>
        <xdr:spPr>
          <a:xfrm>
            <a:off x="10922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0" name="$B$2">
            <a:extLst>
              <a:ext uri="{FF2B5EF4-FFF2-40B4-BE49-F238E27FC236}">
                <a16:creationId xmlns:a16="http://schemas.microsoft.com/office/drawing/2014/main" id="{84D6B905-AA6B-4858-A9E0-D508CED3FB60}"/>
              </a:ext>
            </a:extLst>
          </xdr:cNvPr>
          <xdr:cNvSpPr/>
        </xdr:nvSpPr>
        <xdr:spPr>
          <a:xfrm>
            <a:off x="12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1" name="$B$2">
            <a:extLst>
              <a:ext uri="{FF2B5EF4-FFF2-40B4-BE49-F238E27FC236}">
                <a16:creationId xmlns:a16="http://schemas.microsoft.com/office/drawing/2014/main" id="{B6CEEE79-1F8B-414B-8CC0-D1E573604B6F}"/>
              </a:ext>
            </a:extLst>
          </xdr:cNvPr>
          <xdr:cNvSpPr/>
        </xdr:nvSpPr>
        <xdr:spPr>
          <a:xfrm>
            <a:off x="25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2" name="$B$2">
            <a:extLst>
              <a:ext uri="{FF2B5EF4-FFF2-40B4-BE49-F238E27FC236}">
                <a16:creationId xmlns:a16="http://schemas.microsoft.com/office/drawing/2014/main" id="{FD20D419-F76B-4DE5-9C14-3B13CAC5F33F}"/>
              </a:ext>
            </a:extLst>
          </xdr:cNvPr>
          <xdr:cNvSpPr/>
        </xdr:nvSpPr>
        <xdr:spPr>
          <a:xfrm>
            <a:off x="38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3" name="$B$2">
            <a:extLst>
              <a:ext uri="{FF2B5EF4-FFF2-40B4-BE49-F238E27FC236}">
                <a16:creationId xmlns:a16="http://schemas.microsoft.com/office/drawing/2014/main" id="{B33C222C-2ADF-4816-A771-8B8FBF9F0AB6}"/>
              </a:ext>
            </a:extLst>
          </xdr:cNvPr>
          <xdr:cNvSpPr/>
        </xdr:nvSpPr>
        <xdr:spPr>
          <a:xfrm>
            <a:off x="50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4" name="$B$2">
            <a:extLst>
              <a:ext uri="{FF2B5EF4-FFF2-40B4-BE49-F238E27FC236}">
                <a16:creationId xmlns:a16="http://schemas.microsoft.com/office/drawing/2014/main" id="{BA027EC5-4417-4E1F-A388-2347C847F01A}"/>
              </a:ext>
            </a:extLst>
          </xdr:cNvPr>
          <xdr:cNvSpPr/>
        </xdr:nvSpPr>
        <xdr:spPr>
          <a:xfrm>
            <a:off x="63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5" name="$B$2">
            <a:extLst>
              <a:ext uri="{FF2B5EF4-FFF2-40B4-BE49-F238E27FC236}">
                <a16:creationId xmlns:a16="http://schemas.microsoft.com/office/drawing/2014/main" id="{987C7BBC-1870-4A3D-A514-4F4D43A475E2}"/>
              </a:ext>
            </a:extLst>
          </xdr:cNvPr>
          <xdr:cNvSpPr/>
        </xdr:nvSpPr>
        <xdr:spPr>
          <a:xfrm>
            <a:off x="762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6" name="$B$2">
            <a:extLst>
              <a:ext uri="{FF2B5EF4-FFF2-40B4-BE49-F238E27FC236}">
                <a16:creationId xmlns:a16="http://schemas.microsoft.com/office/drawing/2014/main" id="{29FF4D4B-06E7-4ACB-983E-F0CB07DF2D4E}"/>
              </a:ext>
            </a:extLst>
          </xdr:cNvPr>
          <xdr:cNvSpPr/>
        </xdr:nvSpPr>
        <xdr:spPr>
          <a:xfrm>
            <a:off x="889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7" name="$B$2">
            <a:extLst>
              <a:ext uri="{FF2B5EF4-FFF2-40B4-BE49-F238E27FC236}">
                <a16:creationId xmlns:a16="http://schemas.microsoft.com/office/drawing/2014/main" id="{ACE400CB-37F0-4FE4-81E8-B45D594A7F07}"/>
              </a:ext>
            </a:extLst>
          </xdr:cNvPr>
          <xdr:cNvSpPr/>
        </xdr:nvSpPr>
        <xdr:spPr>
          <a:xfrm>
            <a:off x="1016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8" name="$B$2">
            <a:extLst>
              <a:ext uri="{FF2B5EF4-FFF2-40B4-BE49-F238E27FC236}">
                <a16:creationId xmlns:a16="http://schemas.microsoft.com/office/drawing/2014/main" id="{9FD09A64-3AE0-4806-B812-96D3358601D9}"/>
              </a:ext>
            </a:extLst>
          </xdr:cNvPr>
          <xdr:cNvSpPr/>
        </xdr:nvSpPr>
        <xdr:spPr>
          <a:xfrm>
            <a:off x="1270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9" name="$B$2">
            <a:extLst>
              <a:ext uri="{FF2B5EF4-FFF2-40B4-BE49-F238E27FC236}">
                <a16:creationId xmlns:a16="http://schemas.microsoft.com/office/drawing/2014/main" id="{43327569-53A7-4A8E-87E2-0811891F9EFB}"/>
              </a:ext>
            </a:extLst>
          </xdr:cNvPr>
          <xdr:cNvSpPr/>
        </xdr:nvSpPr>
        <xdr:spPr>
          <a:xfrm>
            <a:off x="152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0" name="$B$2">
            <a:extLst>
              <a:ext uri="{FF2B5EF4-FFF2-40B4-BE49-F238E27FC236}">
                <a16:creationId xmlns:a16="http://schemas.microsoft.com/office/drawing/2014/main" id="{FA9E070B-11DA-4B65-8D87-8B1D2F53A838}"/>
              </a:ext>
            </a:extLst>
          </xdr:cNvPr>
          <xdr:cNvSpPr/>
        </xdr:nvSpPr>
        <xdr:spPr>
          <a:xfrm>
            <a:off x="177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1" name="$B$2">
            <a:extLst>
              <a:ext uri="{FF2B5EF4-FFF2-40B4-BE49-F238E27FC236}">
                <a16:creationId xmlns:a16="http://schemas.microsoft.com/office/drawing/2014/main" id="{48A438A7-9F25-48B2-BDDC-AA124DCB4F8B}"/>
              </a:ext>
            </a:extLst>
          </xdr:cNvPr>
          <xdr:cNvSpPr/>
        </xdr:nvSpPr>
        <xdr:spPr>
          <a:xfrm>
            <a:off x="2286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2" name="$B$2">
            <a:extLst>
              <a:ext uri="{FF2B5EF4-FFF2-40B4-BE49-F238E27FC236}">
                <a16:creationId xmlns:a16="http://schemas.microsoft.com/office/drawing/2014/main" id="{1468E1FB-9DD5-4315-A0E4-7CF173FC2904}"/>
              </a:ext>
            </a:extLst>
          </xdr:cNvPr>
          <xdr:cNvSpPr/>
        </xdr:nvSpPr>
        <xdr:spPr>
          <a:xfrm>
            <a:off x="2413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3" name="$B$2">
            <a:extLst>
              <a:ext uri="{FF2B5EF4-FFF2-40B4-BE49-F238E27FC236}">
                <a16:creationId xmlns:a16="http://schemas.microsoft.com/office/drawing/2014/main" id="{FA800FBE-0539-41D2-879F-E21F5E29919A}"/>
              </a:ext>
            </a:extLst>
          </xdr:cNvPr>
          <xdr:cNvSpPr/>
        </xdr:nvSpPr>
        <xdr:spPr>
          <a:xfrm>
            <a:off x="2540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4" name="$B$2">
            <a:extLst>
              <a:ext uri="{FF2B5EF4-FFF2-40B4-BE49-F238E27FC236}">
                <a16:creationId xmlns:a16="http://schemas.microsoft.com/office/drawing/2014/main" id="{0353F575-35D6-46B2-93BB-44738EA2C84B}"/>
              </a:ext>
            </a:extLst>
          </xdr:cNvPr>
          <xdr:cNvSpPr/>
        </xdr:nvSpPr>
        <xdr:spPr>
          <a:xfrm>
            <a:off x="266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5" name="$B$2">
            <a:extLst>
              <a:ext uri="{FF2B5EF4-FFF2-40B4-BE49-F238E27FC236}">
                <a16:creationId xmlns:a16="http://schemas.microsoft.com/office/drawing/2014/main" id="{23C4320D-D4AA-4727-91AA-24193E92FABD}"/>
              </a:ext>
            </a:extLst>
          </xdr:cNvPr>
          <xdr:cNvSpPr/>
        </xdr:nvSpPr>
        <xdr:spPr>
          <a:xfrm>
            <a:off x="292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6" name="$B$2">
            <a:extLst>
              <a:ext uri="{FF2B5EF4-FFF2-40B4-BE49-F238E27FC236}">
                <a16:creationId xmlns:a16="http://schemas.microsoft.com/office/drawing/2014/main" id="{1EA5D82D-45AB-4BE4-BAA5-B8EBDF0D633A}"/>
              </a:ext>
            </a:extLst>
          </xdr:cNvPr>
          <xdr:cNvSpPr/>
        </xdr:nvSpPr>
        <xdr:spPr>
          <a:xfrm>
            <a:off x="317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7" name="$B$2">
            <a:extLst>
              <a:ext uri="{FF2B5EF4-FFF2-40B4-BE49-F238E27FC236}">
                <a16:creationId xmlns:a16="http://schemas.microsoft.com/office/drawing/2014/main" id="{D16AA7E1-DC38-432F-94FA-A6BA4CB04618}"/>
              </a:ext>
            </a:extLst>
          </xdr:cNvPr>
          <xdr:cNvSpPr/>
        </xdr:nvSpPr>
        <xdr:spPr>
          <a:xfrm>
            <a:off x="3810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8" name="$B$2">
            <a:extLst>
              <a:ext uri="{FF2B5EF4-FFF2-40B4-BE49-F238E27FC236}">
                <a16:creationId xmlns:a16="http://schemas.microsoft.com/office/drawing/2014/main" id="{9E8DF9ED-7904-4531-A8E9-07BA34D191D1}"/>
              </a:ext>
            </a:extLst>
          </xdr:cNvPr>
          <xdr:cNvSpPr/>
        </xdr:nvSpPr>
        <xdr:spPr>
          <a:xfrm>
            <a:off x="444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9" name="$B$2">
            <a:extLst>
              <a:ext uri="{FF2B5EF4-FFF2-40B4-BE49-F238E27FC236}">
                <a16:creationId xmlns:a16="http://schemas.microsoft.com/office/drawing/2014/main" id="{7D7DC190-266C-43ED-A1ED-76CD1DEA51FD}"/>
              </a:ext>
            </a:extLst>
          </xdr:cNvPr>
          <xdr:cNvSpPr/>
        </xdr:nvSpPr>
        <xdr:spPr>
          <a:xfrm>
            <a:off x="4572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0" name="$B$2">
            <a:extLst>
              <a:ext uri="{FF2B5EF4-FFF2-40B4-BE49-F238E27FC236}">
                <a16:creationId xmlns:a16="http://schemas.microsoft.com/office/drawing/2014/main" id="{191A26A9-4ACB-47A6-85A2-13CD0B6FB616}"/>
              </a:ext>
            </a:extLst>
          </xdr:cNvPr>
          <xdr:cNvSpPr/>
        </xdr:nvSpPr>
        <xdr:spPr>
          <a:xfrm>
            <a:off x="520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1" name="$B$2">
            <a:extLst>
              <a:ext uri="{FF2B5EF4-FFF2-40B4-BE49-F238E27FC236}">
                <a16:creationId xmlns:a16="http://schemas.microsoft.com/office/drawing/2014/main" id="{0754D47B-25D4-4B3E-9CF2-1ECC4DA060AB}"/>
              </a:ext>
            </a:extLst>
          </xdr:cNvPr>
          <xdr:cNvSpPr/>
        </xdr:nvSpPr>
        <xdr:spPr>
          <a:xfrm>
            <a:off x="533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2" name="$B$2">
            <a:extLst>
              <a:ext uri="{FF2B5EF4-FFF2-40B4-BE49-F238E27FC236}">
                <a16:creationId xmlns:a16="http://schemas.microsoft.com/office/drawing/2014/main" id="{500F297B-7DCB-4069-ADD8-CF2B9A61B29F}"/>
              </a:ext>
            </a:extLst>
          </xdr:cNvPr>
          <xdr:cNvSpPr/>
        </xdr:nvSpPr>
        <xdr:spPr>
          <a:xfrm>
            <a:off x="558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3" name="$B$2">
            <a:extLst>
              <a:ext uri="{FF2B5EF4-FFF2-40B4-BE49-F238E27FC236}">
                <a16:creationId xmlns:a16="http://schemas.microsoft.com/office/drawing/2014/main" id="{18DD6108-284E-43C0-9FD8-CD5B3787933A}"/>
              </a:ext>
            </a:extLst>
          </xdr:cNvPr>
          <xdr:cNvSpPr/>
        </xdr:nvSpPr>
        <xdr:spPr>
          <a:xfrm>
            <a:off x="571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4" name="$B$2">
            <a:extLst>
              <a:ext uri="{FF2B5EF4-FFF2-40B4-BE49-F238E27FC236}">
                <a16:creationId xmlns:a16="http://schemas.microsoft.com/office/drawing/2014/main" id="{C95CF39B-6522-44C0-B52D-F70DD6883CDE}"/>
              </a:ext>
            </a:extLst>
          </xdr:cNvPr>
          <xdr:cNvSpPr/>
        </xdr:nvSpPr>
        <xdr:spPr>
          <a:xfrm>
            <a:off x="5842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5" name="$B$2">
            <a:extLst>
              <a:ext uri="{FF2B5EF4-FFF2-40B4-BE49-F238E27FC236}">
                <a16:creationId xmlns:a16="http://schemas.microsoft.com/office/drawing/2014/main" id="{C0D6B3AE-982E-4EC6-AB3F-BB8CE39C89B8}"/>
              </a:ext>
            </a:extLst>
          </xdr:cNvPr>
          <xdr:cNvSpPr/>
        </xdr:nvSpPr>
        <xdr:spPr>
          <a:xfrm>
            <a:off x="5969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6" name="$B$2">
            <a:extLst>
              <a:ext uri="{FF2B5EF4-FFF2-40B4-BE49-F238E27FC236}">
                <a16:creationId xmlns:a16="http://schemas.microsoft.com/office/drawing/2014/main" id="{326F3A14-D088-4004-BEC4-444362637A25}"/>
              </a:ext>
            </a:extLst>
          </xdr:cNvPr>
          <xdr:cNvSpPr/>
        </xdr:nvSpPr>
        <xdr:spPr>
          <a:xfrm>
            <a:off x="6223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7" name="$B$2">
            <a:extLst>
              <a:ext uri="{FF2B5EF4-FFF2-40B4-BE49-F238E27FC236}">
                <a16:creationId xmlns:a16="http://schemas.microsoft.com/office/drawing/2014/main" id="{493FF619-672B-4CE6-B3A8-D42B4054F2AD}"/>
              </a:ext>
            </a:extLst>
          </xdr:cNvPr>
          <xdr:cNvSpPr/>
        </xdr:nvSpPr>
        <xdr:spPr>
          <a:xfrm>
            <a:off x="660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8" name="$B$2">
            <a:extLst>
              <a:ext uri="{FF2B5EF4-FFF2-40B4-BE49-F238E27FC236}">
                <a16:creationId xmlns:a16="http://schemas.microsoft.com/office/drawing/2014/main" id="{ACAAD0E9-89FC-49CC-A1A2-6B98A3CCA8E1}"/>
              </a:ext>
            </a:extLst>
          </xdr:cNvPr>
          <xdr:cNvSpPr/>
        </xdr:nvSpPr>
        <xdr:spPr>
          <a:xfrm>
            <a:off x="673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9" name="$B$2">
            <a:extLst>
              <a:ext uri="{FF2B5EF4-FFF2-40B4-BE49-F238E27FC236}">
                <a16:creationId xmlns:a16="http://schemas.microsoft.com/office/drawing/2014/main" id="{998695B6-BCD3-47D7-ABD5-053DDB17434B}"/>
              </a:ext>
            </a:extLst>
          </xdr:cNvPr>
          <xdr:cNvSpPr/>
        </xdr:nvSpPr>
        <xdr:spPr>
          <a:xfrm>
            <a:off x="685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0" name="$B$2">
            <a:extLst>
              <a:ext uri="{FF2B5EF4-FFF2-40B4-BE49-F238E27FC236}">
                <a16:creationId xmlns:a16="http://schemas.microsoft.com/office/drawing/2014/main" id="{5DD9AD65-0D75-4D93-B4D9-337DB61B0135}"/>
              </a:ext>
            </a:extLst>
          </xdr:cNvPr>
          <xdr:cNvSpPr/>
        </xdr:nvSpPr>
        <xdr:spPr>
          <a:xfrm>
            <a:off x="698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1" name="$B$2">
            <a:extLst>
              <a:ext uri="{FF2B5EF4-FFF2-40B4-BE49-F238E27FC236}">
                <a16:creationId xmlns:a16="http://schemas.microsoft.com/office/drawing/2014/main" id="{6292AAEA-AB5F-4D4D-BD77-E7C293A975E3}"/>
              </a:ext>
            </a:extLst>
          </xdr:cNvPr>
          <xdr:cNvSpPr/>
        </xdr:nvSpPr>
        <xdr:spPr>
          <a:xfrm>
            <a:off x="7112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2" name="$B$2">
            <a:extLst>
              <a:ext uri="{FF2B5EF4-FFF2-40B4-BE49-F238E27FC236}">
                <a16:creationId xmlns:a16="http://schemas.microsoft.com/office/drawing/2014/main" id="{6C091330-4FD5-4AF6-AF2E-B7182C3E1857}"/>
              </a:ext>
            </a:extLst>
          </xdr:cNvPr>
          <xdr:cNvSpPr/>
        </xdr:nvSpPr>
        <xdr:spPr>
          <a:xfrm>
            <a:off x="7366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3" name="$B$2">
            <a:extLst>
              <a:ext uri="{FF2B5EF4-FFF2-40B4-BE49-F238E27FC236}">
                <a16:creationId xmlns:a16="http://schemas.microsoft.com/office/drawing/2014/main" id="{CDFD8665-2397-4A74-863A-705A17CAB111}"/>
              </a:ext>
            </a:extLst>
          </xdr:cNvPr>
          <xdr:cNvSpPr/>
        </xdr:nvSpPr>
        <xdr:spPr>
          <a:xfrm>
            <a:off x="7620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4" name="$B$2">
            <a:extLst>
              <a:ext uri="{FF2B5EF4-FFF2-40B4-BE49-F238E27FC236}">
                <a16:creationId xmlns:a16="http://schemas.microsoft.com/office/drawing/2014/main" id="{32DC67D0-1ECE-4CC7-B041-0F7A4873817B}"/>
              </a:ext>
            </a:extLst>
          </xdr:cNvPr>
          <xdr:cNvSpPr/>
        </xdr:nvSpPr>
        <xdr:spPr>
          <a:xfrm>
            <a:off x="800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5" name="$B$2">
            <a:extLst>
              <a:ext uri="{FF2B5EF4-FFF2-40B4-BE49-F238E27FC236}">
                <a16:creationId xmlns:a16="http://schemas.microsoft.com/office/drawing/2014/main" id="{6E1867C9-147B-4D19-810A-4C0CE81FEC27}"/>
              </a:ext>
            </a:extLst>
          </xdr:cNvPr>
          <xdr:cNvSpPr/>
        </xdr:nvSpPr>
        <xdr:spPr>
          <a:xfrm>
            <a:off x="812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6" name="$B$2">
            <a:extLst>
              <a:ext uri="{FF2B5EF4-FFF2-40B4-BE49-F238E27FC236}">
                <a16:creationId xmlns:a16="http://schemas.microsoft.com/office/drawing/2014/main" id="{46A0C931-3354-4962-90EE-EDD447690927}"/>
              </a:ext>
            </a:extLst>
          </xdr:cNvPr>
          <xdr:cNvSpPr/>
        </xdr:nvSpPr>
        <xdr:spPr>
          <a:xfrm>
            <a:off x="8763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7" name="$B$2">
            <a:extLst>
              <a:ext uri="{FF2B5EF4-FFF2-40B4-BE49-F238E27FC236}">
                <a16:creationId xmlns:a16="http://schemas.microsoft.com/office/drawing/2014/main" id="{EA267331-9E5A-4F3E-AB4C-ED1DE95F4EE4}"/>
              </a:ext>
            </a:extLst>
          </xdr:cNvPr>
          <xdr:cNvSpPr/>
        </xdr:nvSpPr>
        <xdr:spPr>
          <a:xfrm>
            <a:off x="8890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8" name="$B$2">
            <a:extLst>
              <a:ext uri="{FF2B5EF4-FFF2-40B4-BE49-F238E27FC236}">
                <a16:creationId xmlns:a16="http://schemas.microsoft.com/office/drawing/2014/main" id="{A74F70B0-1DA6-4B3E-9BBB-C995CA7C6C2F}"/>
              </a:ext>
            </a:extLst>
          </xdr:cNvPr>
          <xdr:cNvSpPr/>
        </xdr:nvSpPr>
        <xdr:spPr>
          <a:xfrm>
            <a:off x="901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9" name="$B$2">
            <a:extLst>
              <a:ext uri="{FF2B5EF4-FFF2-40B4-BE49-F238E27FC236}">
                <a16:creationId xmlns:a16="http://schemas.microsoft.com/office/drawing/2014/main" id="{BFFC76F2-F317-4317-8DCB-22C1846A1FA9}"/>
              </a:ext>
            </a:extLst>
          </xdr:cNvPr>
          <xdr:cNvSpPr/>
        </xdr:nvSpPr>
        <xdr:spPr>
          <a:xfrm>
            <a:off x="914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0" name="$B$2">
            <a:extLst>
              <a:ext uri="{FF2B5EF4-FFF2-40B4-BE49-F238E27FC236}">
                <a16:creationId xmlns:a16="http://schemas.microsoft.com/office/drawing/2014/main" id="{841A586F-B432-4DF2-A735-86586EA7E821}"/>
              </a:ext>
            </a:extLst>
          </xdr:cNvPr>
          <xdr:cNvSpPr/>
        </xdr:nvSpPr>
        <xdr:spPr>
          <a:xfrm>
            <a:off x="927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1" name="$B$2">
            <a:extLst>
              <a:ext uri="{FF2B5EF4-FFF2-40B4-BE49-F238E27FC236}">
                <a16:creationId xmlns:a16="http://schemas.microsoft.com/office/drawing/2014/main" id="{A5639C87-D890-4F79-8630-AB39F4BAF9A2}"/>
              </a:ext>
            </a:extLst>
          </xdr:cNvPr>
          <xdr:cNvSpPr/>
        </xdr:nvSpPr>
        <xdr:spPr>
          <a:xfrm>
            <a:off x="939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2" name="$B$2">
            <a:extLst>
              <a:ext uri="{FF2B5EF4-FFF2-40B4-BE49-F238E27FC236}">
                <a16:creationId xmlns:a16="http://schemas.microsoft.com/office/drawing/2014/main" id="{D2C7DADD-AA26-4B6E-86AF-38BC2D167E43}"/>
              </a:ext>
            </a:extLst>
          </xdr:cNvPr>
          <xdr:cNvSpPr/>
        </xdr:nvSpPr>
        <xdr:spPr>
          <a:xfrm>
            <a:off x="952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3" name="$B$2">
            <a:extLst>
              <a:ext uri="{FF2B5EF4-FFF2-40B4-BE49-F238E27FC236}">
                <a16:creationId xmlns:a16="http://schemas.microsoft.com/office/drawing/2014/main" id="{CC65FC66-90D9-4893-96A9-1CDB51956F6B}"/>
              </a:ext>
            </a:extLst>
          </xdr:cNvPr>
          <xdr:cNvSpPr/>
        </xdr:nvSpPr>
        <xdr:spPr>
          <a:xfrm>
            <a:off x="9779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4" name="$B$2">
            <a:extLst>
              <a:ext uri="{FF2B5EF4-FFF2-40B4-BE49-F238E27FC236}">
                <a16:creationId xmlns:a16="http://schemas.microsoft.com/office/drawing/2014/main" id="{237A7AFB-E20D-463A-AE76-51F3AD24EC3A}"/>
              </a:ext>
            </a:extLst>
          </xdr:cNvPr>
          <xdr:cNvSpPr/>
        </xdr:nvSpPr>
        <xdr:spPr>
          <a:xfrm>
            <a:off x="1028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5" name="$B$2">
            <a:extLst>
              <a:ext uri="{FF2B5EF4-FFF2-40B4-BE49-F238E27FC236}">
                <a16:creationId xmlns:a16="http://schemas.microsoft.com/office/drawing/2014/main" id="{D3D72CA0-8895-45BA-BAEC-2F7419EF3C89}"/>
              </a:ext>
            </a:extLst>
          </xdr:cNvPr>
          <xdr:cNvSpPr/>
        </xdr:nvSpPr>
        <xdr:spPr>
          <a:xfrm>
            <a:off x="1054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6" name="$B$2">
            <a:extLst>
              <a:ext uri="{FF2B5EF4-FFF2-40B4-BE49-F238E27FC236}">
                <a16:creationId xmlns:a16="http://schemas.microsoft.com/office/drawing/2014/main" id="{0D299C27-63E0-4773-AF7B-8EF11B22DF46}"/>
              </a:ext>
            </a:extLst>
          </xdr:cNvPr>
          <xdr:cNvSpPr/>
        </xdr:nvSpPr>
        <xdr:spPr>
          <a:xfrm>
            <a:off x="10922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7" name="$B$2">
            <a:extLst>
              <a:ext uri="{FF2B5EF4-FFF2-40B4-BE49-F238E27FC236}">
                <a16:creationId xmlns:a16="http://schemas.microsoft.com/office/drawing/2014/main" id="{9A7DC02B-119F-470F-9563-203CF0A9A759}"/>
              </a:ext>
            </a:extLst>
          </xdr:cNvPr>
          <xdr:cNvSpPr/>
        </xdr:nvSpPr>
        <xdr:spPr>
          <a:xfrm>
            <a:off x="12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8" name="$B$2">
            <a:extLst>
              <a:ext uri="{FF2B5EF4-FFF2-40B4-BE49-F238E27FC236}">
                <a16:creationId xmlns:a16="http://schemas.microsoft.com/office/drawing/2014/main" id="{E0882908-CD53-428F-83FD-361287E8C09C}"/>
              </a:ext>
            </a:extLst>
          </xdr:cNvPr>
          <xdr:cNvSpPr/>
        </xdr:nvSpPr>
        <xdr:spPr>
          <a:xfrm>
            <a:off x="25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9" name="$B$2">
            <a:extLst>
              <a:ext uri="{FF2B5EF4-FFF2-40B4-BE49-F238E27FC236}">
                <a16:creationId xmlns:a16="http://schemas.microsoft.com/office/drawing/2014/main" id="{D0370907-3B7B-4361-9D91-B65C6752CC0C}"/>
              </a:ext>
            </a:extLst>
          </xdr:cNvPr>
          <xdr:cNvSpPr/>
        </xdr:nvSpPr>
        <xdr:spPr>
          <a:xfrm>
            <a:off x="38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0" name="$B$2">
            <a:extLst>
              <a:ext uri="{FF2B5EF4-FFF2-40B4-BE49-F238E27FC236}">
                <a16:creationId xmlns:a16="http://schemas.microsoft.com/office/drawing/2014/main" id="{F4C09878-BDD3-4AE7-BA85-9617351BA28B}"/>
              </a:ext>
            </a:extLst>
          </xdr:cNvPr>
          <xdr:cNvSpPr/>
        </xdr:nvSpPr>
        <xdr:spPr>
          <a:xfrm>
            <a:off x="50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1" name="$B$2">
            <a:extLst>
              <a:ext uri="{FF2B5EF4-FFF2-40B4-BE49-F238E27FC236}">
                <a16:creationId xmlns:a16="http://schemas.microsoft.com/office/drawing/2014/main" id="{ED6E52B3-48ED-475C-9C94-69F3ECBE72FF}"/>
              </a:ext>
            </a:extLst>
          </xdr:cNvPr>
          <xdr:cNvSpPr/>
        </xdr:nvSpPr>
        <xdr:spPr>
          <a:xfrm>
            <a:off x="63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2" name="$B$2">
            <a:extLst>
              <a:ext uri="{FF2B5EF4-FFF2-40B4-BE49-F238E27FC236}">
                <a16:creationId xmlns:a16="http://schemas.microsoft.com/office/drawing/2014/main" id="{5541487F-9C5E-4973-B876-D0355348F203}"/>
              </a:ext>
            </a:extLst>
          </xdr:cNvPr>
          <xdr:cNvSpPr/>
        </xdr:nvSpPr>
        <xdr:spPr>
          <a:xfrm>
            <a:off x="76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3" name="$B$2">
            <a:extLst>
              <a:ext uri="{FF2B5EF4-FFF2-40B4-BE49-F238E27FC236}">
                <a16:creationId xmlns:a16="http://schemas.microsoft.com/office/drawing/2014/main" id="{D25B2F19-C6BD-4C6F-842C-7498B3F23EF3}"/>
              </a:ext>
            </a:extLst>
          </xdr:cNvPr>
          <xdr:cNvSpPr/>
        </xdr:nvSpPr>
        <xdr:spPr>
          <a:xfrm>
            <a:off x="88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4" name="$B$2">
            <a:extLst>
              <a:ext uri="{FF2B5EF4-FFF2-40B4-BE49-F238E27FC236}">
                <a16:creationId xmlns:a16="http://schemas.microsoft.com/office/drawing/2014/main" id="{375A7B6E-1D8D-45C0-A5AE-C64D06C58D39}"/>
              </a:ext>
            </a:extLst>
          </xdr:cNvPr>
          <xdr:cNvSpPr/>
        </xdr:nvSpPr>
        <xdr:spPr>
          <a:xfrm>
            <a:off x="1016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5" name="$B$2">
            <a:extLst>
              <a:ext uri="{FF2B5EF4-FFF2-40B4-BE49-F238E27FC236}">
                <a16:creationId xmlns:a16="http://schemas.microsoft.com/office/drawing/2014/main" id="{5E454967-6BB3-4A72-84EC-AEFC974983A5}"/>
              </a:ext>
            </a:extLst>
          </xdr:cNvPr>
          <xdr:cNvSpPr/>
        </xdr:nvSpPr>
        <xdr:spPr>
          <a:xfrm>
            <a:off x="1270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6" name="$B$2">
            <a:extLst>
              <a:ext uri="{FF2B5EF4-FFF2-40B4-BE49-F238E27FC236}">
                <a16:creationId xmlns:a16="http://schemas.microsoft.com/office/drawing/2014/main" id="{C74A905C-B52F-4AD6-8626-ED1095218F9F}"/>
              </a:ext>
            </a:extLst>
          </xdr:cNvPr>
          <xdr:cNvSpPr/>
        </xdr:nvSpPr>
        <xdr:spPr>
          <a:xfrm>
            <a:off x="152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7" name="$B$2">
            <a:extLst>
              <a:ext uri="{FF2B5EF4-FFF2-40B4-BE49-F238E27FC236}">
                <a16:creationId xmlns:a16="http://schemas.microsoft.com/office/drawing/2014/main" id="{04DC39AA-8F10-4770-87A9-41DD24B5FA0B}"/>
              </a:ext>
            </a:extLst>
          </xdr:cNvPr>
          <xdr:cNvSpPr/>
        </xdr:nvSpPr>
        <xdr:spPr>
          <a:xfrm>
            <a:off x="177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8" name="$B$2">
            <a:extLst>
              <a:ext uri="{FF2B5EF4-FFF2-40B4-BE49-F238E27FC236}">
                <a16:creationId xmlns:a16="http://schemas.microsoft.com/office/drawing/2014/main" id="{13EE1ED8-4BDA-4527-B53E-B6049DD0DE11}"/>
              </a:ext>
            </a:extLst>
          </xdr:cNvPr>
          <xdr:cNvSpPr/>
        </xdr:nvSpPr>
        <xdr:spPr>
          <a:xfrm>
            <a:off x="2286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9" name="$B$2">
            <a:extLst>
              <a:ext uri="{FF2B5EF4-FFF2-40B4-BE49-F238E27FC236}">
                <a16:creationId xmlns:a16="http://schemas.microsoft.com/office/drawing/2014/main" id="{A5800C99-CACE-4666-B967-CA0E977F92FD}"/>
              </a:ext>
            </a:extLst>
          </xdr:cNvPr>
          <xdr:cNvSpPr/>
        </xdr:nvSpPr>
        <xdr:spPr>
          <a:xfrm>
            <a:off x="2413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0" name="$B$2">
            <a:extLst>
              <a:ext uri="{FF2B5EF4-FFF2-40B4-BE49-F238E27FC236}">
                <a16:creationId xmlns:a16="http://schemas.microsoft.com/office/drawing/2014/main" id="{E8060E03-3E43-4795-B75D-9A098788ABBF}"/>
              </a:ext>
            </a:extLst>
          </xdr:cNvPr>
          <xdr:cNvSpPr/>
        </xdr:nvSpPr>
        <xdr:spPr>
          <a:xfrm>
            <a:off x="266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1" name="$B$2">
            <a:extLst>
              <a:ext uri="{FF2B5EF4-FFF2-40B4-BE49-F238E27FC236}">
                <a16:creationId xmlns:a16="http://schemas.microsoft.com/office/drawing/2014/main" id="{1CBFD8B0-A729-453B-AE00-467D7B5893B3}"/>
              </a:ext>
            </a:extLst>
          </xdr:cNvPr>
          <xdr:cNvSpPr/>
        </xdr:nvSpPr>
        <xdr:spPr>
          <a:xfrm>
            <a:off x="292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2" name="$B$2">
            <a:extLst>
              <a:ext uri="{FF2B5EF4-FFF2-40B4-BE49-F238E27FC236}">
                <a16:creationId xmlns:a16="http://schemas.microsoft.com/office/drawing/2014/main" id="{88426A6B-137B-44EB-A4DA-0CBBBE6D5292}"/>
              </a:ext>
            </a:extLst>
          </xdr:cNvPr>
          <xdr:cNvSpPr/>
        </xdr:nvSpPr>
        <xdr:spPr>
          <a:xfrm>
            <a:off x="317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3" name="$B$2">
            <a:extLst>
              <a:ext uri="{FF2B5EF4-FFF2-40B4-BE49-F238E27FC236}">
                <a16:creationId xmlns:a16="http://schemas.microsoft.com/office/drawing/2014/main" id="{7AC64A38-51B2-4029-B50C-D458F62792A6}"/>
              </a:ext>
            </a:extLst>
          </xdr:cNvPr>
          <xdr:cNvSpPr/>
        </xdr:nvSpPr>
        <xdr:spPr>
          <a:xfrm>
            <a:off x="330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4" name="$B$2">
            <a:extLst>
              <a:ext uri="{FF2B5EF4-FFF2-40B4-BE49-F238E27FC236}">
                <a16:creationId xmlns:a16="http://schemas.microsoft.com/office/drawing/2014/main" id="{1F71C8C0-B5C1-4528-A410-5FC777503CA2}"/>
              </a:ext>
            </a:extLst>
          </xdr:cNvPr>
          <xdr:cNvSpPr/>
        </xdr:nvSpPr>
        <xdr:spPr>
          <a:xfrm>
            <a:off x="342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5" name="$B$2">
            <a:extLst>
              <a:ext uri="{FF2B5EF4-FFF2-40B4-BE49-F238E27FC236}">
                <a16:creationId xmlns:a16="http://schemas.microsoft.com/office/drawing/2014/main" id="{326B619D-F0FB-4C8D-BA55-25A97DEF0F5E}"/>
              </a:ext>
            </a:extLst>
          </xdr:cNvPr>
          <xdr:cNvSpPr/>
        </xdr:nvSpPr>
        <xdr:spPr>
          <a:xfrm>
            <a:off x="3556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6" name="$B$2">
            <a:extLst>
              <a:ext uri="{FF2B5EF4-FFF2-40B4-BE49-F238E27FC236}">
                <a16:creationId xmlns:a16="http://schemas.microsoft.com/office/drawing/2014/main" id="{79530155-FDA4-4849-9D17-2183F3AFFD57}"/>
              </a:ext>
            </a:extLst>
          </xdr:cNvPr>
          <xdr:cNvSpPr/>
        </xdr:nvSpPr>
        <xdr:spPr>
          <a:xfrm>
            <a:off x="3683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7" name="$B$2">
            <a:extLst>
              <a:ext uri="{FF2B5EF4-FFF2-40B4-BE49-F238E27FC236}">
                <a16:creationId xmlns:a16="http://schemas.microsoft.com/office/drawing/2014/main" id="{1DFAD8B7-EC13-4B07-9FBE-AC049C5014A9}"/>
              </a:ext>
            </a:extLst>
          </xdr:cNvPr>
          <xdr:cNvSpPr/>
        </xdr:nvSpPr>
        <xdr:spPr>
          <a:xfrm>
            <a:off x="444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8" name="$B$2">
            <a:extLst>
              <a:ext uri="{FF2B5EF4-FFF2-40B4-BE49-F238E27FC236}">
                <a16:creationId xmlns:a16="http://schemas.microsoft.com/office/drawing/2014/main" id="{8BC36FFC-662C-451A-8708-DDDA0B62EFA2}"/>
              </a:ext>
            </a:extLst>
          </xdr:cNvPr>
          <xdr:cNvSpPr/>
        </xdr:nvSpPr>
        <xdr:spPr>
          <a:xfrm>
            <a:off x="457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9" name="$B$2">
            <a:extLst>
              <a:ext uri="{FF2B5EF4-FFF2-40B4-BE49-F238E27FC236}">
                <a16:creationId xmlns:a16="http://schemas.microsoft.com/office/drawing/2014/main" id="{8279F4AA-097A-4D7F-82C3-70F5F0C8037D}"/>
              </a:ext>
            </a:extLst>
          </xdr:cNvPr>
          <xdr:cNvSpPr/>
        </xdr:nvSpPr>
        <xdr:spPr>
          <a:xfrm>
            <a:off x="4953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0" name="$B$2">
            <a:extLst>
              <a:ext uri="{FF2B5EF4-FFF2-40B4-BE49-F238E27FC236}">
                <a16:creationId xmlns:a16="http://schemas.microsoft.com/office/drawing/2014/main" id="{B7A05993-2F3D-4A67-9513-64414C68453C}"/>
              </a:ext>
            </a:extLst>
          </xdr:cNvPr>
          <xdr:cNvSpPr/>
        </xdr:nvSpPr>
        <xdr:spPr>
          <a:xfrm>
            <a:off x="520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1" name="$B$2">
            <a:extLst>
              <a:ext uri="{FF2B5EF4-FFF2-40B4-BE49-F238E27FC236}">
                <a16:creationId xmlns:a16="http://schemas.microsoft.com/office/drawing/2014/main" id="{AEF219E0-CCDE-4C50-87F7-8B5A448E727E}"/>
              </a:ext>
            </a:extLst>
          </xdr:cNvPr>
          <xdr:cNvSpPr/>
        </xdr:nvSpPr>
        <xdr:spPr>
          <a:xfrm>
            <a:off x="584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2" name="$B$2">
            <a:extLst>
              <a:ext uri="{FF2B5EF4-FFF2-40B4-BE49-F238E27FC236}">
                <a16:creationId xmlns:a16="http://schemas.microsoft.com/office/drawing/2014/main" id="{C8F46869-07BF-4304-9BB0-74A48DFBE3D0}"/>
              </a:ext>
            </a:extLst>
          </xdr:cNvPr>
          <xdr:cNvSpPr/>
        </xdr:nvSpPr>
        <xdr:spPr>
          <a:xfrm>
            <a:off x="596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3" name="$B$2">
            <a:extLst>
              <a:ext uri="{FF2B5EF4-FFF2-40B4-BE49-F238E27FC236}">
                <a16:creationId xmlns:a16="http://schemas.microsoft.com/office/drawing/2014/main" id="{4C41A123-6A56-47F2-90D7-0278C804253F}"/>
              </a:ext>
            </a:extLst>
          </xdr:cNvPr>
          <xdr:cNvSpPr/>
        </xdr:nvSpPr>
        <xdr:spPr>
          <a:xfrm>
            <a:off x="6096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4" name="$B$2">
            <a:extLst>
              <a:ext uri="{FF2B5EF4-FFF2-40B4-BE49-F238E27FC236}">
                <a16:creationId xmlns:a16="http://schemas.microsoft.com/office/drawing/2014/main" id="{A0E502A6-76EA-4374-9ECC-951CA65E2C62}"/>
              </a:ext>
            </a:extLst>
          </xdr:cNvPr>
          <xdr:cNvSpPr/>
        </xdr:nvSpPr>
        <xdr:spPr>
          <a:xfrm>
            <a:off x="6223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5" name="$B$2">
            <a:extLst>
              <a:ext uri="{FF2B5EF4-FFF2-40B4-BE49-F238E27FC236}">
                <a16:creationId xmlns:a16="http://schemas.microsoft.com/office/drawing/2014/main" id="{25E33C4B-3AA2-426D-B56C-439C77101C6B}"/>
              </a:ext>
            </a:extLst>
          </xdr:cNvPr>
          <xdr:cNvSpPr/>
        </xdr:nvSpPr>
        <xdr:spPr>
          <a:xfrm>
            <a:off x="6350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6" name="$B$2">
            <a:extLst>
              <a:ext uri="{FF2B5EF4-FFF2-40B4-BE49-F238E27FC236}">
                <a16:creationId xmlns:a16="http://schemas.microsoft.com/office/drawing/2014/main" id="{B7D92F2B-2D88-4346-9550-B6F8ABF369F7}"/>
              </a:ext>
            </a:extLst>
          </xdr:cNvPr>
          <xdr:cNvSpPr/>
        </xdr:nvSpPr>
        <xdr:spPr>
          <a:xfrm>
            <a:off x="660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7" name="$B$2">
            <a:extLst>
              <a:ext uri="{FF2B5EF4-FFF2-40B4-BE49-F238E27FC236}">
                <a16:creationId xmlns:a16="http://schemas.microsoft.com/office/drawing/2014/main" id="{C519732D-627F-4C6F-95F5-57D80383E6E1}"/>
              </a:ext>
            </a:extLst>
          </xdr:cNvPr>
          <xdr:cNvSpPr/>
        </xdr:nvSpPr>
        <xdr:spPr>
          <a:xfrm>
            <a:off x="685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8" name="$B$2">
            <a:extLst>
              <a:ext uri="{FF2B5EF4-FFF2-40B4-BE49-F238E27FC236}">
                <a16:creationId xmlns:a16="http://schemas.microsoft.com/office/drawing/2014/main" id="{BC971009-009A-4FFF-ACB7-EA62B514D070}"/>
              </a:ext>
            </a:extLst>
          </xdr:cNvPr>
          <xdr:cNvSpPr/>
        </xdr:nvSpPr>
        <xdr:spPr>
          <a:xfrm>
            <a:off x="711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9" name="$B$2">
            <a:extLst>
              <a:ext uri="{FF2B5EF4-FFF2-40B4-BE49-F238E27FC236}">
                <a16:creationId xmlns:a16="http://schemas.microsoft.com/office/drawing/2014/main" id="{595DE8FB-D453-401C-A0EF-2465FA914A8C}"/>
              </a:ext>
            </a:extLst>
          </xdr:cNvPr>
          <xdr:cNvSpPr/>
        </xdr:nvSpPr>
        <xdr:spPr>
          <a:xfrm>
            <a:off x="774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0" name="$B$2">
            <a:extLst>
              <a:ext uri="{FF2B5EF4-FFF2-40B4-BE49-F238E27FC236}">
                <a16:creationId xmlns:a16="http://schemas.microsoft.com/office/drawing/2014/main" id="{022EBEAE-36B4-431E-B0F9-C839C24FE759}"/>
              </a:ext>
            </a:extLst>
          </xdr:cNvPr>
          <xdr:cNvSpPr/>
        </xdr:nvSpPr>
        <xdr:spPr>
          <a:xfrm>
            <a:off x="787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1" name="$B$2">
            <a:extLst>
              <a:ext uri="{FF2B5EF4-FFF2-40B4-BE49-F238E27FC236}">
                <a16:creationId xmlns:a16="http://schemas.microsoft.com/office/drawing/2014/main" id="{3024EE83-4E66-41FA-9E00-504524E06370}"/>
              </a:ext>
            </a:extLst>
          </xdr:cNvPr>
          <xdr:cNvSpPr/>
        </xdr:nvSpPr>
        <xdr:spPr>
          <a:xfrm>
            <a:off x="800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2" name="$B$2">
            <a:extLst>
              <a:ext uri="{FF2B5EF4-FFF2-40B4-BE49-F238E27FC236}">
                <a16:creationId xmlns:a16="http://schemas.microsoft.com/office/drawing/2014/main" id="{A7A016B6-1E1D-4914-A272-45B77920D9D0}"/>
              </a:ext>
            </a:extLst>
          </xdr:cNvPr>
          <xdr:cNvSpPr/>
        </xdr:nvSpPr>
        <xdr:spPr>
          <a:xfrm>
            <a:off x="812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3" name="$B$2">
            <a:extLst>
              <a:ext uri="{FF2B5EF4-FFF2-40B4-BE49-F238E27FC236}">
                <a16:creationId xmlns:a16="http://schemas.microsoft.com/office/drawing/2014/main" id="{64C8F56C-7B03-46A3-BBD3-1671D4931412}"/>
              </a:ext>
            </a:extLst>
          </xdr:cNvPr>
          <xdr:cNvSpPr/>
        </xdr:nvSpPr>
        <xdr:spPr>
          <a:xfrm>
            <a:off x="8763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4" name="$B$2">
            <a:extLst>
              <a:ext uri="{FF2B5EF4-FFF2-40B4-BE49-F238E27FC236}">
                <a16:creationId xmlns:a16="http://schemas.microsoft.com/office/drawing/2014/main" id="{97099E68-220C-433E-B431-033A5C479938}"/>
              </a:ext>
            </a:extLst>
          </xdr:cNvPr>
          <xdr:cNvSpPr/>
        </xdr:nvSpPr>
        <xdr:spPr>
          <a:xfrm>
            <a:off x="8890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5" name="$B$2">
            <a:extLst>
              <a:ext uri="{FF2B5EF4-FFF2-40B4-BE49-F238E27FC236}">
                <a16:creationId xmlns:a16="http://schemas.microsoft.com/office/drawing/2014/main" id="{C736D556-1F75-4234-B796-699CBC9D4CA6}"/>
              </a:ext>
            </a:extLst>
          </xdr:cNvPr>
          <xdr:cNvSpPr/>
        </xdr:nvSpPr>
        <xdr:spPr>
          <a:xfrm>
            <a:off x="901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6" name="$B$2">
            <a:extLst>
              <a:ext uri="{FF2B5EF4-FFF2-40B4-BE49-F238E27FC236}">
                <a16:creationId xmlns:a16="http://schemas.microsoft.com/office/drawing/2014/main" id="{F15F8B2B-5DAF-4D48-ADB3-CD32AFC10F7F}"/>
              </a:ext>
            </a:extLst>
          </xdr:cNvPr>
          <xdr:cNvSpPr/>
        </xdr:nvSpPr>
        <xdr:spPr>
          <a:xfrm>
            <a:off x="914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7" name="$B$2">
            <a:extLst>
              <a:ext uri="{FF2B5EF4-FFF2-40B4-BE49-F238E27FC236}">
                <a16:creationId xmlns:a16="http://schemas.microsoft.com/office/drawing/2014/main" id="{0FFA2AC3-ED37-43DE-83FD-C6DB2A08CF1B}"/>
              </a:ext>
            </a:extLst>
          </xdr:cNvPr>
          <xdr:cNvSpPr/>
        </xdr:nvSpPr>
        <xdr:spPr>
          <a:xfrm>
            <a:off x="927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8" name="$B$2">
            <a:extLst>
              <a:ext uri="{FF2B5EF4-FFF2-40B4-BE49-F238E27FC236}">
                <a16:creationId xmlns:a16="http://schemas.microsoft.com/office/drawing/2014/main" id="{261200F3-94BA-4149-BED7-480E179D77C0}"/>
              </a:ext>
            </a:extLst>
          </xdr:cNvPr>
          <xdr:cNvSpPr/>
        </xdr:nvSpPr>
        <xdr:spPr>
          <a:xfrm>
            <a:off x="939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9" name="$B$2">
            <a:extLst>
              <a:ext uri="{FF2B5EF4-FFF2-40B4-BE49-F238E27FC236}">
                <a16:creationId xmlns:a16="http://schemas.microsoft.com/office/drawing/2014/main" id="{0AC992B7-DD44-4086-84CA-59E38406F12A}"/>
              </a:ext>
            </a:extLst>
          </xdr:cNvPr>
          <xdr:cNvSpPr/>
        </xdr:nvSpPr>
        <xdr:spPr>
          <a:xfrm>
            <a:off x="952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0" name="$B$2">
            <a:extLst>
              <a:ext uri="{FF2B5EF4-FFF2-40B4-BE49-F238E27FC236}">
                <a16:creationId xmlns:a16="http://schemas.microsoft.com/office/drawing/2014/main" id="{C0B9EAA2-940E-471A-95A8-C5A906DE8153}"/>
              </a:ext>
            </a:extLst>
          </xdr:cNvPr>
          <xdr:cNvSpPr/>
        </xdr:nvSpPr>
        <xdr:spPr>
          <a:xfrm>
            <a:off x="977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1" name="$B$2">
            <a:extLst>
              <a:ext uri="{FF2B5EF4-FFF2-40B4-BE49-F238E27FC236}">
                <a16:creationId xmlns:a16="http://schemas.microsoft.com/office/drawing/2014/main" id="{94BB955C-2C55-4DB0-A589-798C873C4042}"/>
              </a:ext>
            </a:extLst>
          </xdr:cNvPr>
          <xdr:cNvSpPr/>
        </xdr:nvSpPr>
        <xdr:spPr>
          <a:xfrm>
            <a:off x="1028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2" name="$B$2">
            <a:extLst>
              <a:ext uri="{FF2B5EF4-FFF2-40B4-BE49-F238E27FC236}">
                <a16:creationId xmlns:a16="http://schemas.microsoft.com/office/drawing/2014/main" id="{61790817-A32B-468F-A0A4-75D41BC00546}"/>
              </a:ext>
            </a:extLst>
          </xdr:cNvPr>
          <xdr:cNvSpPr/>
        </xdr:nvSpPr>
        <xdr:spPr>
          <a:xfrm>
            <a:off x="1054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3" name="$B$2">
            <a:extLst>
              <a:ext uri="{FF2B5EF4-FFF2-40B4-BE49-F238E27FC236}">
                <a16:creationId xmlns:a16="http://schemas.microsoft.com/office/drawing/2014/main" id="{F50C2FC8-578C-4A58-9FDB-B07B96DE840C}"/>
              </a:ext>
            </a:extLst>
          </xdr:cNvPr>
          <xdr:cNvSpPr/>
        </xdr:nvSpPr>
        <xdr:spPr>
          <a:xfrm>
            <a:off x="1092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4" name="$B$2">
            <a:extLst>
              <a:ext uri="{FF2B5EF4-FFF2-40B4-BE49-F238E27FC236}">
                <a16:creationId xmlns:a16="http://schemas.microsoft.com/office/drawing/2014/main" id="{454610D1-C30B-4BEE-89A6-E9360DA1DB5B}"/>
              </a:ext>
            </a:extLst>
          </xdr:cNvPr>
          <xdr:cNvSpPr/>
        </xdr:nvSpPr>
        <xdr:spPr>
          <a:xfrm>
            <a:off x="12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5" name="$B$2">
            <a:extLst>
              <a:ext uri="{FF2B5EF4-FFF2-40B4-BE49-F238E27FC236}">
                <a16:creationId xmlns:a16="http://schemas.microsoft.com/office/drawing/2014/main" id="{58B4F7A5-F1C4-4FD4-9B47-CCA629E88DC0}"/>
              </a:ext>
            </a:extLst>
          </xdr:cNvPr>
          <xdr:cNvSpPr/>
        </xdr:nvSpPr>
        <xdr:spPr>
          <a:xfrm>
            <a:off x="25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6" name="$B$2">
            <a:extLst>
              <a:ext uri="{FF2B5EF4-FFF2-40B4-BE49-F238E27FC236}">
                <a16:creationId xmlns:a16="http://schemas.microsoft.com/office/drawing/2014/main" id="{B5F8EB23-B008-4374-A687-3FF1C748B3AF}"/>
              </a:ext>
            </a:extLst>
          </xdr:cNvPr>
          <xdr:cNvSpPr/>
        </xdr:nvSpPr>
        <xdr:spPr>
          <a:xfrm>
            <a:off x="38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7" name="$B$2">
            <a:extLst>
              <a:ext uri="{FF2B5EF4-FFF2-40B4-BE49-F238E27FC236}">
                <a16:creationId xmlns:a16="http://schemas.microsoft.com/office/drawing/2014/main" id="{7AB79DBF-046D-4E60-A2AE-6C225D02F9DA}"/>
              </a:ext>
            </a:extLst>
          </xdr:cNvPr>
          <xdr:cNvSpPr/>
        </xdr:nvSpPr>
        <xdr:spPr>
          <a:xfrm>
            <a:off x="50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8" name="$B$2">
            <a:extLst>
              <a:ext uri="{FF2B5EF4-FFF2-40B4-BE49-F238E27FC236}">
                <a16:creationId xmlns:a16="http://schemas.microsoft.com/office/drawing/2014/main" id="{F0212ED9-BC74-48AA-B112-6E7E7998774B}"/>
              </a:ext>
            </a:extLst>
          </xdr:cNvPr>
          <xdr:cNvSpPr/>
        </xdr:nvSpPr>
        <xdr:spPr>
          <a:xfrm>
            <a:off x="63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9" name="$B$2">
            <a:extLst>
              <a:ext uri="{FF2B5EF4-FFF2-40B4-BE49-F238E27FC236}">
                <a16:creationId xmlns:a16="http://schemas.microsoft.com/office/drawing/2014/main" id="{A144EC02-C666-4370-91D7-5CFCC5403C71}"/>
              </a:ext>
            </a:extLst>
          </xdr:cNvPr>
          <xdr:cNvSpPr/>
        </xdr:nvSpPr>
        <xdr:spPr>
          <a:xfrm>
            <a:off x="76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0" name="$B$2">
            <a:extLst>
              <a:ext uri="{FF2B5EF4-FFF2-40B4-BE49-F238E27FC236}">
                <a16:creationId xmlns:a16="http://schemas.microsoft.com/office/drawing/2014/main" id="{C264492C-96AE-4392-9283-379853BBC2B3}"/>
              </a:ext>
            </a:extLst>
          </xdr:cNvPr>
          <xdr:cNvSpPr/>
        </xdr:nvSpPr>
        <xdr:spPr>
          <a:xfrm>
            <a:off x="889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1" name="$B$2">
            <a:extLst>
              <a:ext uri="{FF2B5EF4-FFF2-40B4-BE49-F238E27FC236}">
                <a16:creationId xmlns:a16="http://schemas.microsoft.com/office/drawing/2014/main" id="{F356E5F8-61D2-496F-89D4-A9977613C7CC}"/>
              </a:ext>
            </a:extLst>
          </xdr:cNvPr>
          <xdr:cNvSpPr/>
        </xdr:nvSpPr>
        <xdr:spPr>
          <a:xfrm>
            <a:off x="101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2" name="$B$2">
            <a:extLst>
              <a:ext uri="{FF2B5EF4-FFF2-40B4-BE49-F238E27FC236}">
                <a16:creationId xmlns:a16="http://schemas.microsoft.com/office/drawing/2014/main" id="{2725D170-F596-42B1-8B2B-0D4161C0947B}"/>
              </a:ext>
            </a:extLst>
          </xdr:cNvPr>
          <xdr:cNvSpPr/>
        </xdr:nvSpPr>
        <xdr:spPr>
          <a:xfrm>
            <a:off x="127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3" name="$B$2">
            <a:extLst>
              <a:ext uri="{FF2B5EF4-FFF2-40B4-BE49-F238E27FC236}">
                <a16:creationId xmlns:a16="http://schemas.microsoft.com/office/drawing/2014/main" id="{1CBEF428-8A01-4517-A4AD-03D4FF9CBDAB}"/>
              </a:ext>
            </a:extLst>
          </xdr:cNvPr>
          <xdr:cNvSpPr/>
        </xdr:nvSpPr>
        <xdr:spPr>
          <a:xfrm>
            <a:off x="152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4" name="$B$2">
            <a:extLst>
              <a:ext uri="{FF2B5EF4-FFF2-40B4-BE49-F238E27FC236}">
                <a16:creationId xmlns:a16="http://schemas.microsoft.com/office/drawing/2014/main" id="{8DC10FD9-D1EC-46E4-AB3F-89CDAB18443B}"/>
              </a:ext>
            </a:extLst>
          </xdr:cNvPr>
          <xdr:cNvSpPr/>
        </xdr:nvSpPr>
        <xdr:spPr>
          <a:xfrm>
            <a:off x="177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5" name="$B$2">
            <a:extLst>
              <a:ext uri="{FF2B5EF4-FFF2-40B4-BE49-F238E27FC236}">
                <a16:creationId xmlns:a16="http://schemas.microsoft.com/office/drawing/2014/main" id="{1B629C5A-5EA6-4356-964F-85D47B830BB5}"/>
              </a:ext>
            </a:extLst>
          </xdr:cNvPr>
          <xdr:cNvSpPr/>
        </xdr:nvSpPr>
        <xdr:spPr>
          <a:xfrm>
            <a:off x="228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6" name="$B$2">
            <a:extLst>
              <a:ext uri="{FF2B5EF4-FFF2-40B4-BE49-F238E27FC236}">
                <a16:creationId xmlns:a16="http://schemas.microsoft.com/office/drawing/2014/main" id="{B61AB882-FFF8-47D5-8B66-B602F1A1FC4B}"/>
              </a:ext>
            </a:extLst>
          </xdr:cNvPr>
          <xdr:cNvSpPr/>
        </xdr:nvSpPr>
        <xdr:spPr>
          <a:xfrm>
            <a:off x="254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7" name="$B$2">
            <a:extLst>
              <a:ext uri="{FF2B5EF4-FFF2-40B4-BE49-F238E27FC236}">
                <a16:creationId xmlns:a16="http://schemas.microsoft.com/office/drawing/2014/main" id="{7AD9557E-46B2-4CE8-98EF-E9125282E30E}"/>
              </a:ext>
            </a:extLst>
          </xdr:cNvPr>
          <xdr:cNvSpPr/>
        </xdr:nvSpPr>
        <xdr:spPr>
          <a:xfrm>
            <a:off x="279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8" name="$B$2">
            <a:extLst>
              <a:ext uri="{FF2B5EF4-FFF2-40B4-BE49-F238E27FC236}">
                <a16:creationId xmlns:a16="http://schemas.microsoft.com/office/drawing/2014/main" id="{49842B1D-A479-4C82-8E76-CA8BA6FC2A16}"/>
              </a:ext>
            </a:extLst>
          </xdr:cNvPr>
          <xdr:cNvSpPr/>
        </xdr:nvSpPr>
        <xdr:spPr>
          <a:xfrm>
            <a:off x="292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9" name="$B$2">
            <a:extLst>
              <a:ext uri="{FF2B5EF4-FFF2-40B4-BE49-F238E27FC236}">
                <a16:creationId xmlns:a16="http://schemas.microsoft.com/office/drawing/2014/main" id="{9C55ECDC-A908-47A3-B914-0CCFC7493561}"/>
              </a:ext>
            </a:extLst>
          </xdr:cNvPr>
          <xdr:cNvSpPr/>
        </xdr:nvSpPr>
        <xdr:spPr>
          <a:xfrm>
            <a:off x="304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0" name="$B$2">
            <a:extLst>
              <a:ext uri="{FF2B5EF4-FFF2-40B4-BE49-F238E27FC236}">
                <a16:creationId xmlns:a16="http://schemas.microsoft.com/office/drawing/2014/main" id="{D5139293-0E9C-43FB-B4FC-4A1E716419FB}"/>
              </a:ext>
            </a:extLst>
          </xdr:cNvPr>
          <xdr:cNvSpPr/>
        </xdr:nvSpPr>
        <xdr:spPr>
          <a:xfrm>
            <a:off x="317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1" name="$B$2">
            <a:extLst>
              <a:ext uri="{FF2B5EF4-FFF2-40B4-BE49-F238E27FC236}">
                <a16:creationId xmlns:a16="http://schemas.microsoft.com/office/drawing/2014/main" id="{6F5467C8-4FF6-4FC1-8BAD-9FC099FC7775}"/>
              </a:ext>
            </a:extLst>
          </xdr:cNvPr>
          <xdr:cNvSpPr/>
        </xdr:nvSpPr>
        <xdr:spPr>
          <a:xfrm>
            <a:off x="330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2" name="$B$2">
            <a:extLst>
              <a:ext uri="{FF2B5EF4-FFF2-40B4-BE49-F238E27FC236}">
                <a16:creationId xmlns:a16="http://schemas.microsoft.com/office/drawing/2014/main" id="{E04170A9-28B7-4995-9390-E734A51AB9A5}"/>
              </a:ext>
            </a:extLst>
          </xdr:cNvPr>
          <xdr:cNvSpPr/>
        </xdr:nvSpPr>
        <xdr:spPr>
          <a:xfrm>
            <a:off x="355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3" name="$B$2">
            <a:extLst>
              <a:ext uri="{FF2B5EF4-FFF2-40B4-BE49-F238E27FC236}">
                <a16:creationId xmlns:a16="http://schemas.microsoft.com/office/drawing/2014/main" id="{14AC8F85-1F8C-4FB7-8CF4-20E5651E0D49}"/>
              </a:ext>
            </a:extLst>
          </xdr:cNvPr>
          <xdr:cNvSpPr/>
        </xdr:nvSpPr>
        <xdr:spPr>
          <a:xfrm>
            <a:off x="3683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4" name="$B$2">
            <a:extLst>
              <a:ext uri="{FF2B5EF4-FFF2-40B4-BE49-F238E27FC236}">
                <a16:creationId xmlns:a16="http://schemas.microsoft.com/office/drawing/2014/main" id="{74B35272-73C7-4467-9BD6-43D5B883B45B}"/>
              </a:ext>
            </a:extLst>
          </xdr:cNvPr>
          <xdr:cNvSpPr/>
        </xdr:nvSpPr>
        <xdr:spPr>
          <a:xfrm>
            <a:off x="381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5" name="$B$2">
            <a:extLst>
              <a:ext uri="{FF2B5EF4-FFF2-40B4-BE49-F238E27FC236}">
                <a16:creationId xmlns:a16="http://schemas.microsoft.com/office/drawing/2014/main" id="{FE0E0013-91B2-469F-BD9D-7231E5C3D6B5}"/>
              </a:ext>
            </a:extLst>
          </xdr:cNvPr>
          <xdr:cNvSpPr/>
        </xdr:nvSpPr>
        <xdr:spPr>
          <a:xfrm>
            <a:off x="393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6" name="$B$2">
            <a:extLst>
              <a:ext uri="{FF2B5EF4-FFF2-40B4-BE49-F238E27FC236}">
                <a16:creationId xmlns:a16="http://schemas.microsoft.com/office/drawing/2014/main" id="{25DC53EA-763C-47F5-9B1A-C848E3A1F309}"/>
              </a:ext>
            </a:extLst>
          </xdr:cNvPr>
          <xdr:cNvSpPr/>
        </xdr:nvSpPr>
        <xdr:spPr>
          <a:xfrm>
            <a:off x="406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7" name="$B$2">
            <a:extLst>
              <a:ext uri="{FF2B5EF4-FFF2-40B4-BE49-F238E27FC236}">
                <a16:creationId xmlns:a16="http://schemas.microsoft.com/office/drawing/2014/main" id="{84C65557-9761-4E63-AD62-D1EE47BD0395}"/>
              </a:ext>
            </a:extLst>
          </xdr:cNvPr>
          <xdr:cNvSpPr/>
        </xdr:nvSpPr>
        <xdr:spPr>
          <a:xfrm>
            <a:off x="444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8" name="$B$2">
            <a:extLst>
              <a:ext uri="{FF2B5EF4-FFF2-40B4-BE49-F238E27FC236}">
                <a16:creationId xmlns:a16="http://schemas.microsoft.com/office/drawing/2014/main" id="{07134CF1-5BD3-4C23-9713-C24B1DBCC162}"/>
              </a:ext>
            </a:extLst>
          </xdr:cNvPr>
          <xdr:cNvSpPr/>
        </xdr:nvSpPr>
        <xdr:spPr>
          <a:xfrm>
            <a:off x="457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9" name="$B$2">
            <a:extLst>
              <a:ext uri="{FF2B5EF4-FFF2-40B4-BE49-F238E27FC236}">
                <a16:creationId xmlns:a16="http://schemas.microsoft.com/office/drawing/2014/main" id="{BD43C103-C55E-43E4-9AA1-C4A0FF774432}"/>
              </a:ext>
            </a:extLst>
          </xdr:cNvPr>
          <xdr:cNvSpPr/>
        </xdr:nvSpPr>
        <xdr:spPr>
          <a:xfrm>
            <a:off x="520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0" name="$B$2">
            <a:extLst>
              <a:ext uri="{FF2B5EF4-FFF2-40B4-BE49-F238E27FC236}">
                <a16:creationId xmlns:a16="http://schemas.microsoft.com/office/drawing/2014/main" id="{1B8184B2-8BE2-4B04-818A-31ACFB791CED}"/>
              </a:ext>
            </a:extLst>
          </xdr:cNvPr>
          <xdr:cNvSpPr/>
        </xdr:nvSpPr>
        <xdr:spPr>
          <a:xfrm>
            <a:off x="546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1" name="$B$2">
            <a:extLst>
              <a:ext uri="{FF2B5EF4-FFF2-40B4-BE49-F238E27FC236}">
                <a16:creationId xmlns:a16="http://schemas.microsoft.com/office/drawing/2014/main" id="{84B7891F-773A-46F8-BDE6-D85B69BA6847}"/>
              </a:ext>
            </a:extLst>
          </xdr:cNvPr>
          <xdr:cNvSpPr/>
        </xdr:nvSpPr>
        <xdr:spPr>
          <a:xfrm>
            <a:off x="609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2" name="$B$2">
            <a:extLst>
              <a:ext uri="{FF2B5EF4-FFF2-40B4-BE49-F238E27FC236}">
                <a16:creationId xmlns:a16="http://schemas.microsoft.com/office/drawing/2014/main" id="{6C05B173-5338-4273-8D0D-9F555734D34C}"/>
              </a:ext>
            </a:extLst>
          </xdr:cNvPr>
          <xdr:cNvSpPr/>
        </xdr:nvSpPr>
        <xdr:spPr>
          <a:xfrm>
            <a:off x="6223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3" name="$B$2">
            <a:extLst>
              <a:ext uri="{FF2B5EF4-FFF2-40B4-BE49-F238E27FC236}">
                <a16:creationId xmlns:a16="http://schemas.microsoft.com/office/drawing/2014/main" id="{319B047B-178F-4767-A1AD-4006B89CDBE9}"/>
              </a:ext>
            </a:extLst>
          </xdr:cNvPr>
          <xdr:cNvSpPr/>
        </xdr:nvSpPr>
        <xdr:spPr>
          <a:xfrm>
            <a:off x="660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4" name="$B$2">
            <a:extLst>
              <a:ext uri="{FF2B5EF4-FFF2-40B4-BE49-F238E27FC236}">
                <a16:creationId xmlns:a16="http://schemas.microsoft.com/office/drawing/2014/main" id="{D162A9A2-CAAF-4C47-ABD1-BEC5DCC291BD}"/>
              </a:ext>
            </a:extLst>
          </xdr:cNvPr>
          <xdr:cNvSpPr/>
        </xdr:nvSpPr>
        <xdr:spPr>
          <a:xfrm>
            <a:off x="673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5" name="$B$2">
            <a:extLst>
              <a:ext uri="{FF2B5EF4-FFF2-40B4-BE49-F238E27FC236}">
                <a16:creationId xmlns:a16="http://schemas.microsoft.com/office/drawing/2014/main" id="{A3EFAF3F-786B-44CC-9BDA-0031612B2B4A}"/>
              </a:ext>
            </a:extLst>
          </xdr:cNvPr>
          <xdr:cNvSpPr/>
        </xdr:nvSpPr>
        <xdr:spPr>
          <a:xfrm>
            <a:off x="698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6" name="$B$2">
            <a:extLst>
              <a:ext uri="{FF2B5EF4-FFF2-40B4-BE49-F238E27FC236}">
                <a16:creationId xmlns:a16="http://schemas.microsoft.com/office/drawing/2014/main" id="{0756F8DF-7207-499C-9B1F-515208407D19}"/>
              </a:ext>
            </a:extLst>
          </xdr:cNvPr>
          <xdr:cNvSpPr/>
        </xdr:nvSpPr>
        <xdr:spPr>
          <a:xfrm>
            <a:off x="7239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7" name="$B$2">
            <a:extLst>
              <a:ext uri="{FF2B5EF4-FFF2-40B4-BE49-F238E27FC236}">
                <a16:creationId xmlns:a16="http://schemas.microsoft.com/office/drawing/2014/main" id="{01028429-AADE-4016-9FE1-46ED6D1CCDC2}"/>
              </a:ext>
            </a:extLst>
          </xdr:cNvPr>
          <xdr:cNvSpPr/>
        </xdr:nvSpPr>
        <xdr:spPr>
          <a:xfrm>
            <a:off x="736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8" name="$B$2">
            <a:extLst>
              <a:ext uri="{FF2B5EF4-FFF2-40B4-BE49-F238E27FC236}">
                <a16:creationId xmlns:a16="http://schemas.microsoft.com/office/drawing/2014/main" id="{D8D6765E-59DE-4D7C-B6F6-2154393D4A26}"/>
              </a:ext>
            </a:extLst>
          </xdr:cNvPr>
          <xdr:cNvSpPr/>
        </xdr:nvSpPr>
        <xdr:spPr>
          <a:xfrm>
            <a:off x="7493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9" name="$B$2">
            <a:extLst>
              <a:ext uri="{FF2B5EF4-FFF2-40B4-BE49-F238E27FC236}">
                <a16:creationId xmlns:a16="http://schemas.microsoft.com/office/drawing/2014/main" id="{95F598B1-A01C-47BF-84DA-CBB4444791C7}"/>
              </a:ext>
            </a:extLst>
          </xdr:cNvPr>
          <xdr:cNvSpPr/>
        </xdr:nvSpPr>
        <xdr:spPr>
          <a:xfrm>
            <a:off x="762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0" name="$B$2">
            <a:extLst>
              <a:ext uri="{FF2B5EF4-FFF2-40B4-BE49-F238E27FC236}">
                <a16:creationId xmlns:a16="http://schemas.microsoft.com/office/drawing/2014/main" id="{1DDB6C7B-5AFB-4262-9E40-CFEBA8B7FEC9}"/>
              </a:ext>
            </a:extLst>
          </xdr:cNvPr>
          <xdr:cNvSpPr/>
        </xdr:nvSpPr>
        <xdr:spPr>
          <a:xfrm>
            <a:off x="787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1" name="$B$2">
            <a:extLst>
              <a:ext uri="{FF2B5EF4-FFF2-40B4-BE49-F238E27FC236}">
                <a16:creationId xmlns:a16="http://schemas.microsoft.com/office/drawing/2014/main" id="{2F1F13DE-68ED-4B63-907F-6172808E57A2}"/>
              </a:ext>
            </a:extLst>
          </xdr:cNvPr>
          <xdr:cNvSpPr/>
        </xdr:nvSpPr>
        <xdr:spPr>
          <a:xfrm>
            <a:off x="800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2" name="$B$2">
            <a:extLst>
              <a:ext uri="{FF2B5EF4-FFF2-40B4-BE49-F238E27FC236}">
                <a16:creationId xmlns:a16="http://schemas.microsoft.com/office/drawing/2014/main" id="{18F7B470-2CBA-40D4-AC69-AECD337EF145}"/>
              </a:ext>
            </a:extLst>
          </xdr:cNvPr>
          <xdr:cNvSpPr/>
        </xdr:nvSpPr>
        <xdr:spPr>
          <a:xfrm>
            <a:off x="812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3" name="$B$2">
            <a:extLst>
              <a:ext uri="{FF2B5EF4-FFF2-40B4-BE49-F238E27FC236}">
                <a16:creationId xmlns:a16="http://schemas.microsoft.com/office/drawing/2014/main" id="{0DA8411D-E5D6-49B3-9A15-07F168B448D7}"/>
              </a:ext>
            </a:extLst>
          </xdr:cNvPr>
          <xdr:cNvSpPr/>
        </xdr:nvSpPr>
        <xdr:spPr>
          <a:xfrm>
            <a:off x="825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4" name="$B$2">
            <a:extLst>
              <a:ext uri="{FF2B5EF4-FFF2-40B4-BE49-F238E27FC236}">
                <a16:creationId xmlns:a16="http://schemas.microsoft.com/office/drawing/2014/main" id="{0E85E0BE-70CE-4F92-B1C3-5D425A6E8F98}"/>
              </a:ext>
            </a:extLst>
          </xdr:cNvPr>
          <xdr:cNvSpPr/>
        </xdr:nvSpPr>
        <xdr:spPr>
          <a:xfrm>
            <a:off x="838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5" name="$B$2">
            <a:extLst>
              <a:ext uri="{FF2B5EF4-FFF2-40B4-BE49-F238E27FC236}">
                <a16:creationId xmlns:a16="http://schemas.microsoft.com/office/drawing/2014/main" id="{FE18A499-4066-4F4F-A607-C0222110EDE5}"/>
              </a:ext>
            </a:extLst>
          </xdr:cNvPr>
          <xdr:cNvSpPr/>
        </xdr:nvSpPr>
        <xdr:spPr>
          <a:xfrm>
            <a:off x="8763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6" name="$B$2">
            <a:extLst>
              <a:ext uri="{FF2B5EF4-FFF2-40B4-BE49-F238E27FC236}">
                <a16:creationId xmlns:a16="http://schemas.microsoft.com/office/drawing/2014/main" id="{04E644DE-A504-4776-9AA8-C2FDAAF76195}"/>
              </a:ext>
            </a:extLst>
          </xdr:cNvPr>
          <xdr:cNvSpPr/>
        </xdr:nvSpPr>
        <xdr:spPr>
          <a:xfrm>
            <a:off x="889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7" name="$B$2">
            <a:extLst>
              <a:ext uri="{FF2B5EF4-FFF2-40B4-BE49-F238E27FC236}">
                <a16:creationId xmlns:a16="http://schemas.microsoft.com/office/drawing/2014/main" id="{79CA90D9-3F9E-43BB-9043-F471696B843E}"/>
              </a:ext>
            </a:extLst>
          </xdr:cNvPr>
          <xdr:cNvSpPr/>
        </xdr:nvSpPr>
        <xdr:spPr>
          <a:xfrm>
            <a:off x="901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8" name="$B$2">
            <a:extLst>
              <a:ext uri="{FF2B5EF4-FFF2-40B4-BE49-F238E27FC236}">
                <a16:creationId xmlns:a16="http://schemas.microsoft.com/office/drawing/2014/main" id="{4257AD87-78BD-4D64-9614-F3C413455B76}"/>
              </a:ext>
            </a:extLst>
          </xdr:cNvPr>
          <xdr:cNvSpPr/>
        </xdr:nvSpPr>
        <xdr:spPr>
          <a:xfrm>
            <a:off x="914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9" name="$B$2">
            <a:extLst>
              <a:ext uri="{FF2B5EF4-FFF2-40B4-BE49-F238E27FC236}">
                <a16:creationId xmlns:a16="http://schemas.microsoft.com/office/drawing/2014/main" id="{41435D99-809E-40AF-A8C5-BF6022258F85}"/>
              </a:ext>
            </a:extLst>
          </xdr:cNvPr>
          <xdr:cNvSpPr/>
        </xdr:nvSpPr>
        <xdr:spPr>
          <a:xfrm>
            <a:off x="927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0" name="$B$2">
            <a:extLst>
              <a:ext uri="{FF2B5EF4-FFF2-40B4-BE49-F238E27FC236}">
                <a16:creationId xmlns:a16="http://schemas.microsoft.com/office/drawing/2014/main" id="{5DC97464-0ADF-4D43-B1C3-671570A5E8E3}"/>
              </a:ext>
            </a:extLst>
          </xdr:cNvPr>
          <xdr:cNvSpPr/>
        </xdr:nvSpPr>
        <xdr:spPr>
          <a:xfrm>
            <a:off x="939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1" name="$B$2">
            <a:extLst>
              <a:ext uri="{FF2B5EF4-FFF2-40B4-BE49-F238E27FC236}">
                <a16:creationId xmlns:a16="http://schemas.microsoft.com/office/drawing/2014/main" id="{B7CA89B0-CDC0-4C9E-B95A-316FDCD00352}"/>
              </a:ext>
            </a:extLst>
          </xdr:cNvPr>
          <xdr:cNvSpPr/>
        </xdr:nvSpPr>
        <xdr:spPr>
          <a:xfrm>
            <a:off x="952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2" name="$B$2">
            <a:extLst>
              <a:ext uri="{FF2B5EF4-FFF2-40B4-BE49-F238E27FC236}">
                <a16:creationId xmlns:a16="http://schemas.microsoft.com/office/drawing/2014/main" id="{8720FD57-019F-40E6-87A3-D48F5E26465E}"/>
              </a:ext>
            </a:extLst>
          </xdr:cNvPr>
          <xdr:cNvSpPr/>
        </xdr:nvSpPr>
        <xdr:spPr>
          <a:xfrm>
            <a:off x="9779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3" name="$B$2">
            <a:extLst>
              <a:ext uri="{FF2B5EF4-FFF2-40B4-BE49-F238E27FC236}">
                <a16:creationId xmlns:a16="http://schemas.microsoft.com/office/drawing/2014/main" id="{79A039AF-0365-4858-B472-DA06FC39A0A1}"/>
              </a:ext>
            </a:extLst>
          </xdr:cNvPr>
          <xdr:cNvSpPr/>
        </xdr:nvSpPr>
        <xdr:spPr>
          <a:xfrm>
            <a:off x="1028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4" name="$B$2">
            <a:extLst>
              <a:ext uri="{FF2B5EF4-FFF2-40B4-BE49-F238E27FC236}">
                <a16:creationId xmlns:a16="http://schemas.microsoft.com/office/drawing/2014/main" id="{D7EB52A4-A1E7-4559-93C3-89FDB5954894}"/>
              </a:ext>
            </a:extLst>
          </xdr:cNvPr>
          <xdr:cNvSpPr/>
        </xdr:nvSpPr>
        <xdr:spPr>
          <a:xfrm>
            <a:off x="1054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5" name="$B$2">
            <a:extLst>
              <a:ext uri="{FF2B5EF4-FFF2-40B4-BE49-F238E27FC236}">
                <a16:creationId xmlns:a16="http://schemas.microsoft.com/office/drawing/2014/main" id="{ABAAE86E-FC74-409D-8959-08087F498D21}"/>
              </a:ext>
            </a:extLst>
          </xdr:cNvPr>
          <xdr:cNvSpPr/>
        </xdr:nvSpPr>
        <xdr:spPr>
          <a:xfrm>
            <a:off x="1092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6" name="$B$2">
            <a:extLst>
              <a:ext uri="{FF2B5EF4-FFF2-40B4-BE49-F238E27FC236}">
                <a16:creationId xmlns:a16="http://schemas.microsoft.com/office/drawing/2014/main" id="{D83859F9-E1F5-4E0F-93B3-8F5000C6455B}"/>
              </a:ext>
            </a:extLst>
          </xdr:cNvPr>
          <xdr:cNvSpPr/>
        </xdr:nvSpPr>
        <xdr:spPr>
          <a:xfrm>
            <a:off x="12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7" name="$B$2">
            <a:extLst>
              <a:ext uri="{FF2B5EF4-FFF2-40B4-BE49-F238E27FC236}">
                <a16:creationId xmlns:a16="http://schemas.microsoft.com/office/drawing/2014/main" id="{7F5C2F30-0D2C-4CB4-8595-5C09CE6C7D1B}"/>
              </a:ext>
            </a:extLst>
          </xdr:cNvPr>
          <xdr:cNvSpPr/>
        </xdr:nvSpPr>
        <xdr:spPr>
          <a:xfrm>
            <a:off x="25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8" name="$B$2">
            <a:extLst>
              <a:ext uri="{FF2B5EF4-FFF2-40B4-BE49-F238E27FC236}">
                <a16:creationId xmlns:a16="http://schemas.microsoft.com/office/drawing/2014/main" id="{456307BF-EE41-4DCB-B51C-CC70F5A19836}"/>
              </a:ext>
            </a:extLst>
          </xdr:cNvPr>
          <xdr:cNvSpPr/>
        </xdr:nvSpPr>
        <xdr:spPr>
          <a:xfrm>
            <a:off x="38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9" name="$B$2">
            <a:extLst>
              <a:ext uri="{FF2B5EF4-FFF2-40B4-BE49-F238E27FC236}">
                <a16:creationId xmlns:a16="http://schemas.microsoft.com/office/drawing/2014/main" id="{9BF310AE-C7CE-44F9-9E9D-20EBF8C480ED}"/>
              </a:ext>
            </a:extLst>
          </xdr:cNvPr>
          <xdr:cNvSpPr/>
        </xdr:nvSpPr>
        <xdr:spPr>
          <a:xfrm>
            <a:off x="50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0" name="$B$2">
            <a:extLst>
              <a:ext uri="{FF2B5EF4-FFF2-40B4-BE49-F238E27FC236}">
                <a16:creationId xmlns:a16="http://schemas.microsoft.com/office/drawing/2014/main" id="{D7F010C5-08D4-4970-8BEE-9A790E9F2A73}"/>
              </a:ext>
            </a:extLst>
          </xdr:cNvPr>
          <xdr:cNvSpPr/>
        </xdr:nvSpPr>
        <xdr:spPr>
          <a:xfrm>
            <a:off x="63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1" name="$B$2">
            <a:extLst>
              <a:ext uri="{FF2B5EF4-FFF2-40B4-BE49-F238E27FC236}">
                <a16:creationId xmlns:a16="http://schemas.microsoft.com/office/drawing/2014/main" id="{0F79DF73-B812-4B89-9632-3FA2A50AEA34}"/>
              </a:ext>
            </a:extLst>
          </xdr:cNvPr>
          <xdr:cNvSpPr/>
        </xdr:nvSpPr>
        <xdr:spPr>
          <a:xfrm>
            <a:off x="762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2" name="$B$2">
            <a:extLst>
              <a:ext uri="{FF2B5EF4-FFF2-40B4-BE49-F238E27FC236}">
                <a16:creationId xmlns:a16="http://schemas.microsoft.com/office/drawing/2014/main" id="{33211F0D-4124-47E7-9FFD-9C8211AE647C}"/>
              </a:ext>
            </a:extLst>
          </xdr:cNvPr>
          <xdr:cNvSpPr/>
        </xdr:nvSpPr>
        <xdr:spPr>
          <a:xfrm>
            <a:off x="889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3" name="$B$2">
            <a:extLst>
              <a:ext uri="{FF2B5EF4-FFF2-40B4-BE49-F238E27FC236}">
                <a16:creationId xmlns:a16="http://schemas.microsoft.com/office/drawing/2014/main" id="{A201BD50-E0A5-4E3D-9E1D-555CBB07FD1F}"/>
              </a:ext>
            </a:extLst>
          </xdr:cNvPr>
          <xdr:cNvSpPr/>
        </xdr:nvSpPr>
        <xdr:spPr>
          <a:xfrm>
            <a:off x="1016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4" name="$B$2">
            <a:extLst>
              <a:ext uri="{FF2B5EF4-FFF2-40B4-BE49-F238E27FC236}">
                <a16:creationId xmlns:a16="http://schemas.microsoft.com/office/drawing/2014/main" id="{626455C7-E6FD-40DB-BA2E-F46A7B53E2C7}"/>
              </a:ext>
            </a:extLst>
          </xdr:cNvPr>
          <xdr:cNvSpPr/>
        </xdr:nvSpPr>
        <xdr:spPr>
          <a:xfrm>
            <a:off x="1270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5" name="$B$2">
            <a:extLst>
              <a:ext uri="{FF2B5EF4-FFF2-40B4-BE49-F238E27FC236}">
                <a16:creationId xmlns:a16="http://schemas.microsoft.com/office/drawing/2014/main" id="{C2DDC336-5DEA-4C4C-93E5-CE35E6FB613C}"/>
              </a:ext>
            </a:extLst>
          </xdr:cNvPr>
          <xdr:cNvSpPr/>
        </xdr:nvSpPr>
        <xdr:spPr>
          <a:xfrm>
            <a:off x="152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6" name="$B$2">
            <a:extLst>
              <a:ext uri="{FF2B5EF4-FFF2-40B4-BE49-F238E27FC236}">
                <a16:creationId xmlns:a16="http://schemas.microsoft.com/office/drawing/2014/main" id="{4B86B4A3-0108-4FCE-8917-4A421127E395}"/>
              </a:ext>
            </a:extLst>
          </xdr:cNvPr>
          <xdr:cNvSpPr/>
        </xdr:nvSpPr>
        <xdr:spPr>
          <a:xfrm>
            <a:off x="177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7" name="$B$2">
            <a:extLst>
              <a:ext uri="{FF2B5EF4-FFF2-40B4-BE49-F238E27FC236}">
                <a16:creationId xmlns:a16="http://schemas.microsoft.com/office/drawing/2014/main" id="{5A17D470-C8A5-49E0-9AA8-BBD41DB1E6F2}"/>
              </a:ext>
            </a:extLst>
          </xdr:cNvPr>
          <xdr:cNvSpPr/>
        </xdr:nvSpPr>
        <xdr:spPr>
          <a:xfrm>
            <a:off x="2286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8" name="$B$2">
            <a:extLst>
              <a:ext uri="{FF2B5EF4-FFF2-40B4-BE49-F238E27FC236}">
                <a16:creationId xmlns:a16="http://schemas.microsoft.com/office/drawing/2014/main" id="{02DED463-5D2B-4B25-8EC6-50354C444CC2}"/>
              </a:ext>
            </a:extLst>
          </xdr:cNvPr>
          <xdr:cNvSpPr/>
        </xdr:nvSpPr>
        <xdr:spPr>
          <a:xfrm>
            <a:off x="2413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9" name="$B$2">
            <a:extLst>
              <a:ext uri="{FF2B5EF4-FFF2-40B4-BE49-F238E27FC236}">
                <a16:creationId xmlns:a16="http://schemas.microsoft.com/office/drawing/2014/main" id="{DF22BE81-186E-41FD-B38F-0D621AFB6ABA}"/>
              </a:ext>
            </a:extLst>
          </xdr:cNvPr>
          <xdr:cNvSpPr/>
        </xdr:nvSpPr>
        <xdr:spPr>
          <a:xfrm>
            <a:off x="266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0" name="$B$2">
            <a:extLst>
              <a:ext uri="{FF2B5EF4-FFF2-40B4-BE49-F238E27FC236}">
                <a16:creationId xmlns:a16="http://schemas.microsoft.com/office/drawing/2014/main" id="{EAA5F049-6291-48DD-857A-EA77B18751D1}"/>
              </a:ext>
            </a:extLst>
          </xdr:cNvPr>
          <xdr:cNvSpPr/>
        </xdr:nvSpPr>
        <xdr:spPr>
          <a:xfrm>
            <a:off x="292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1" name="$B$2">
            <a:extLst>
              <a:ext uri="{FF2B5EF4-FFF2-40B4-BE49-F238E27FC236}">
                <a16:creationId xmlns:a16="http://schemas.microsoft.com/office/drawing/2014/main" id="{21C94DCB-F68B-45F6-A27C-27D8DBBAA2E3}"/>
              </a:ext>
            </a:extLst>
          </xdr:cNvPr>
          <xdr:cNvSpPr/>
        </xdr:nvSpPr>
        <xdr:spPr>
          <a:xfrm>
            <a:off x="304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2" name="$B$2">
            <a:extLst>
              <a:ext uri="{FF2B5EF4-FFF2-40B4-BE49-F238E27FC236}">
                <a16:creationId xmlns:a16="http://schemas.microsoft.com/office/drawing/2014/main" id="{614F4F36-D85A-4B92-B9DB-7589469309DD}"/>
              </a:ext>
            </a:extLst>
          </xdr:cNvPr>
          <xdr:cNvSpPr/>
        </xdr:nvSpPr>
        <xdr:spPr>
          <a:xfrm>
            <a:off x="317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3" name="$B$2">
            <a:extLst>
              <a:ext uri="{FF2B5EF4-FFF2-40B4-BE49-F238E27FC236}">
                <a16:creationId xmlns:a16="http://schemas.microsoft.com/office/drawing/2014/main" id="{F6C9A193-841B-436C-94A9-904E9559D22A}"/>
              </a:ext>
            </a:extLst>
          </xdr:cNvPr>
          <xdr:cNvSpPr/>
        </xdr:nvSpPr>
        <xdr:spPr>
          <a:xfrm>
            <a:off x="393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4" name="$B$2">
            <a:extLst>
              <a:ext uri="{FF2B5EF4-FFF2-40B4-BE49-F238E27FC236}">
                <a16:creationId xmlns:a16="http://schemas.microsoft.com/office/drawing/2014/main" id="{42810595-5515-4E1E-959C-29DB76E8261D}"/>
              </a:ext>
            </a:extLst>
          </xdr:cNvPr>
          <xdr:cNvSpPr/>
        </xdr:nvSpPr>
        <xdr:spPr>
          <a:xfrm>
            <a:off x="444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5" name="$B$2">
            <a:extLst>
              <a:ext uri="{FF2B5EF4-FFF2-40B4-BE49-F238E27FC236}">
                <a16:creationId xmlns:a16="http://schemas.microsoft.com/office/drawing/2014/main" id="{0F6F5EB9-5404-4442-9E27-C10391F8FE18}"/>
              </a:ext>
            </a:extLst>
          </xdr:cNvPr>
          <xdr:cNvSpPr/>
        </xdr:nvSpPr>
        <xdr:spPr>
          <a:xfrm>
            <a:off x="4572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6" name="$B$2">
            <a:extLst>
              <a:ext uri="{FF2B5EF4-FFF2-40B4-BE49-F238E27FC236}">
                <a16:creationId xmlns:a16="http://schemas.microsoft.com/office/drawing/2014/main" id="{C248AA8F-7EF4-4C45-8D7D-BC234D55A0FA}"/>
              </a:ext>
            </a:extLst>
          </xdr:cNvPr>
          <xdr:cNvSpPr/>
        </xdr:nvSpPr>
        <xdr:spPr>
          <a:xfrm>
            <a:off x="4699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7" name="$B$2">
            <a:extLst>
              <a:ext uri="{FF2B5EF4-FFF2-40B4-BE49-F238E27FC236}">
                <a16:creationId xmlns:a16="http://schemas.microsoft.com/office/drawing/2014/main" id="{69BA5533-B184-4329-B106-6A8F88F081F5}"/>
              </a:ext>
            </a:extLst>
          </xdr:cNvPr>
          <xdr:cNvSpPr/>
        </xdr:nvSpPr>
        <xdr:spPr>
          <a:xfrm>
            <a:off x="4826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8" name="$B$2">
            <a:extLst>
              <a:ext uri="{FF2B5EF4-FFF2-40B4-BE49-F238E27FC236}">
                <a16:creationId xmlns:a16="http://schemas.microsoft.com/office/drawing/2014/main" id="{47C3827C-65AF-4CB7-A242-72AB35DE1621}"/>
              </a:ext>
            </a:extLst>
          </xdr:cNvPr>
          <xdr:cNvSpPr/>
        </xdr:nvSpPr>
        <xdr:spPr>
          <a:xfrm>
            <a:off x="520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9" name="$B$2">
            <a:extLst>
              <a:ext uri="{FF2B5EF4-FFF2-40B4-BE49-F238E27FC236}">
                <a16:creationId xmlns:a16="http://schemas.microsoft.com/office/drawing/2014/main" id="{D3A80E54-9B62-4443-8B57-AEE7D8EC84D5}"/>
              </a:ext>
            </a:extLst>
          </xdr:cNvPr>
          <xdr:cNvSpPr/>
        </xdr:nvSpPr>
        <xdr:spPr>
          <a:xfrm>
            <a:off x="546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0" name="$B$2">
            <a:extLst>
              <a:ext uri="{FF2B5EF4-FFF2-40B4-BE49-F238E27FC236}">
                <a16:creationId xmlns:a16="http://schemas.microsoft.com/office/drawing/2014/main" id="{A24F7BE0-642B-4CC7-AC39-C024FA27963A}"/>
              </a:ext>
            </a:extLst>
          </xdr:cNvPr>
          <xdr:cNvSpPr/>
        </xdr:nvSpPr>
        <xdr:spPr>
          <a:xfrm>
            <a:off x="6350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1" name="$B$2">
            <a:extLst>
              <a:ext uri="{FF2B5EF4-FFF2-40B4-BE49-F238E27FC236}">
                <a16:creationId xmlns:a16="http://schemas.microsoft.com/office/drawing/2014/main" id="{23E6E6CA-766D-4618-AD9A-8D6BB366A50E}"/>
              </a:ext>
            </a:extLst>
          </xdr:cNvPr>
          <xdr:cNvSpPr/>
        </xdr:nvSpPr>
        <xdr:spPr>
          <a:xfrm>
            <a:off x="660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2" name="$B$2">
            <a:extLst>
              <a:ext uri="{FF2B5EF4-FFF2-40B4-BE49-F238E27FC236}">
                <a16:creationId xmlns:a16="http://schemas.microsoft.com/office/drawing/2014/main" id="{05B9DD65-8829-466B-BC6E-880CA38AF037}"/>
              </a:ext>
            </a:extLst>
          </xdr:cNvPr>
          <xdr:cNvSpPr/>
        </xdr:nvSpPr>
        <xdr:spPr>
          <a:xfrm>
            <a:off x="673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3" name="$B$2">
            <a:extLst>
              <a:ext uri="{FF2B5EF4-FFF2-40B4-BE49-F238E27FC236}">
                <a16:creationId xmlns:a16="http://schemas.microsoft.com/office/drawing/2014/main" id="{5EE65D7F-4171-473D-BB08-AC4721F70E8E}"/>
              </a:ext>
            </a:extLst>
          </xdr:cNvPr>
          <xdr:cNvSpPr/>
        </xdr:nvSpPr>
        <xdr:spPr>
          <a:xfrm>
            <a:off x="698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4" name="$B$2">
            <a:extLst>
              <a:ext uri="{FF2B5EF4-FFF2-40B4-BE49-F238E27FC236}">
                <a16:creationId xmlns:a16="http://schemas.microsoft.com/office/drawing/2014/main" id="{B777B6A7-1A19-44D2-82ED-8C0568AE890E}"/>
              </a:ext>
            </a:extLst>
          </xdr:cNvPr>
          <xdr:cNvSpPr/>
        </xdr:nvSpPr>
        <xdr:spPr>
          <a:xfrm>
            <a:off x="7239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5" name="$B$2">
            <a:extLst>
              <a:ext uri="{FF2B5EF4-FFF2-40B4-BE49-F238E27FC236}">
                <a16:creationId xmlns:a16="http://schemas.microsoft.com/office/drawing/2014/main" id="{B3899892-B7D0-4E13-A4DC-714C83F0BC7B}"/>
              </a:ext>
            </a:extLst>
          </xdr:cNvPr>
          <xdr:cNvSpPr/>
        </xdr:nvSpPr>
        <xdr:spPr>
          <a:xfrm>
            <a:off x="7366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6" name="$B$2">
            <a:extLst>
              <a:ext uri="{FF2B5EF4-FFF2-40B4-BE49-F238E27FC236}">
                <a16:creationId xmlns:a16="http://schemas.microsoft.com/office/drawing/2014/main" id="{7CDE035B-1283-42E9-85E7-42950AF216CD}"/>
              </a:ext>
            </a:extLst>
          </xdr:cNvPr>
          <xdr:cNvSpPr/>
        </xdr:nvSpPr>
        <xdr:spPr>
          <a:xfrm>
            <a:off x="7493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7" name="$B$2">
            <a:extLst>
              <a:ext uri="{FF2B5EF4-FFF2-40B4-BE49-F238E27FC236}">
                <a16:creationId xmlns:a16="http://schemas.microsoft.com/office/drawing/2014/main" id="{CFA87F1B-00E2-491E-A09E-26FDFB2EB7B2}"/>
              </a:ext>
            </a:extLst>
          </xdr:cNvPr>
          <xdr:cNvSpPr/>
        </xdr:nvSpPr>
        <xdr:spPr>
          <a:xfrm>
            <a:off x="800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8" name="$B$2">
            <a:extLst>
              <a:ext uri="{FF2B5EF4-FFF2-40B4-BE49-F238E27FC236}">
                <a16:creationId xmlns:a16="http://schemas.microsoft.com/office/drawing/2014/main" id="{44386F46-85A8-4747-80AC-0C47F898C40F}"/>
              </a:ext>
            </a:extLst>
          </xdr:cNvPr>
          <xdr:cNvSpPr/>
        </xdr:nvSpPr>
        <xdr:spPr>
          <a:xfrm>
            <a:off x="8763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9" name="$B$2">
            <a:extLst>
              <a:ext uri="{FF2B5EF4-FFF2-40B4-BE49-F238E27FC236}">
                <a16:creationId xmlns:a16="http://schemas.microsoft.com/office/drawing/2014/main" id="{C74D8727-C9B8-4447-81E7-636D409F6A05}"/>
              </a:ext>
            </a:extLst>
          </xdr:cNvPr>
          <xdr:cNvSpPr/>
        </xdr:nvSpPr>
        <xdr:spPr>
          <a:xfrm>
            <a:off x="8890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0" name="$B$2">
            <a:extLst>
              <a:ext uri="{FF2B5EF4-FFF2-40B4-BE49-F238E27FC236}">
                <a16:creationId xmlns:a16="http://schemas.microsoft.com/office/drawing/2014/main" id="{58232FE8-ECCF-443D-8F95-021A8589B1C6}"/>
              </a:ext>
            </a:extLst>
          </xdr:cNvPr>
          <xdr:cNvSpPr/>
        </xdr:nvSpPr>
        <xdr:spPr>
          <a:xfrm>
            <a:off x="901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1" name="$B$2">
            <a:extLst>
              <a:ext uri="{FF2B5EF4-FFF2-40B4-BE49-F238E27FC236}">
                <a16:creationId xmlns:a16="http://schemas.microsoft.com/office/drawing/2014/main" id="{6FB701AA-49A0-415C-A308-1ACEAA563BB1}"/>
              </a:ext>
            </a:extLst>
          </xdr:cNvPr>
          <xdr:cNvSpPr/>
        </xdr:nvSpPr>
        <xdr:spPr>
          <a:xfrm>
            <a:off x="914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2" name="$B$2">
            <a:extLst>
              <a:ext uri="{FF2B5EF4-FFF2-40B4-BE49-F238E27FC236}">
                <a16:creationId xmlns:a16="http://schemas.microsoft.com/office/drawing/2014/main" id="{60BDD7F0-F189-4328-971E-A0BE9A450A51}"/>
              </a:ext>
            </a:extLst>
          </xdr:cNvPr>
          <xdr:cNvSpPr/>
        </xdr:nvSpPr>
        <xdr:spPr>
          <a:xfrm>
            <a:off x="927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3" name="$B$2">
            <a:extLst>
              <a:ext uri="{FF2B5EF4-FFF2-40B4-BE49-F238E27FC236}">
                <a16:creationId xmlns:a16="http://schemas.microsoft.com/office/drawing/2014/main" id="{A8BE3439-C033-4D07-ABC6-7854C7AC36B8}"/>
              </a:ext>
            </a:extLst>
          </xdr:cNvPr>
          <xdr:cNvSpPr/>
        </xdr:nvSpPr>
        <xdr:spPr>
          <a:xfrm>
            <a:off x="939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4" name="$B$2">
            <a:extLst>
              <a:ext uri="{FF2B5EF4-FFF2-40B4-BE49-F238E27FC236}">
                <a16:creationId xmlns:a16="http://schemas.microsoft.com/office/drawing/2014/main" id="{E50500C6-C9FC-4A67-9474-FE9BE4954EA9}"/>
              </a:ext>
            </a:extLst>
          </xdr:cNvPr>
          <xdr:cNvSpPr/>
        </xdr:nvSpPr>
        <xdr:spPr>
          <a:xfrm>
            <a:off x="952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5" name="$B$2">
            <a:extLst>
              <a:ext uri="{FF2B5EF4-FFF2-40B4-BE49-F238E27FC236}">
                <a16:creationId xmlns:a16="http://schemas.microsoft.com/office/drawing/2014/main" id="{6030F18E-A359-41A0-858C-16D570EA63E2}"/>
              </a:ext>
            </a:extLst>
          </xdr:cNvPr>
          <xdr:cNvSpPr/>
        </xdr:nvSpPr>
        <xdr:spPr>
          <a:xfrm>
            <a:off x="9779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6" name="$B$2">
            <a:extLst>
              <a:ext uri="{FF2B5EF4-FFF2-40B4-BE49-F238E27FC236}">
                <a16:creationId xmlns:a16="http://schemas.microsoft.com/office/drawing/2014/main" id="{ED3268B8-35CD-4B25-AE37-6D2B6F689086}"/>
              </a:ext>
            </a:extLst>
          </xdr:cNvPr>
          <xdr:cNvSpPr/>
        </xdr:nvSpPr>
        <xdr:spPr>
          <a:xfrm>
            <a:off x="1028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7" name="$B$2">
            <a:extLst>
              <a:ext uri="{FF2B5EF4-FFF2-40B4-BE49-F238E27FC236}">
                <a16:creationId xmlns:a16="http://schemas.microsoft.com/office/drawing/2014/main" id="{482774B5-ADC6-4274-BB58-A19A20C0C537}"/>
              </a:ext>
            </a:extLst>
          </xdr:cNvPr>
          <xdr:cNvSpPr/>
        </xdr:nvSpPr>
        <xdr:spPr>
          <a:xfrm>
            <a:off x="1054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8" name="$B$2">
            <a:extLst>
              <a:ext uri="{FF2B5EF4-FFF2-40B4-BE49-F238E27FC236}">
                <a16:creationId xmlns:a16="http://schemas.microsoft.com/office/drawing/2014/main" id="{AB1EB3B9-BC71-4227-8206-2E6CB27A6321}"/>
              </a:ext>
            </a:extLst>
          </xdr:cNvPr>
          <xdr:cNvSpPr/>
        </xdr:nvSpPr>
        <xdr:spPr>
          <a:xfrm>
            <a:off x="10922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9" name="$B$2">
            <a:extLst>
              <a:ext uri="{FF2B5EF4-FFF2-40B4-BE49-F238E27FC236}">
                <a16:creationId xmlns:a16="http://schemas.microsoft.com/office/drawing/2014/main" id="{8E86B300-01B9-412E-97CF-0330F033C336}"/>
              </a:ext>
            </a:extLst>
          </xdr:cNvPr>
          <xdr:cNvSpPr/>
        </xdr:nvSpPr>
        <xdr:spPr>
          <a:xfrm>
            <a:off x="12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0" name="$B$2">
            <a:extLst>
              <a:ext uri="{FF2B5EF4-FFF2-40B4-BE49-F238E27FC236}">
                <a16:creationId xmlns:a16="http://schemas.microsoft.com/office/drawing/2014/main" id="{898FF08B-925D-45BA-A1C8-36D59CB1124C}"/>
              </a:ext>
            </a:extLst>
          </xdr:cNvPr>
          <xdr:cNvSpPr/>
        </xdr:nvSpPr>
        <xdr:spPr>
          <a:xfrm>
            <a:off x="25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1" name="$B$2">
            <a:extLst>
              <a:ext uri="{FF2B5EF4-FFF2-40B4-BE49-F238E27FC236}">
                <a16:creationId xmlns:a16="http://schemas.microsoft.com/office/drawing/2014/main" id="{915859B1-C573-4086-9CA3-921BC8FD9347}"/>
              </a:ext>
            </a:extLst>
          </xdr:cNvPr>
          <xdr:cNvSpPr/>
        </xdr:nvSpPr>
        <xdr:spPr>
          <a:xfrm>
            <a:off x="38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2" name="$B$2">
            <a:extLst>
              <a:ext uri="{FF2B5EF4-FFF2-40B4-BE49-F238E27FC236}">
                <a16:creationId xmlns:a16="http://schemas.microsoft.com/office/drawing/2014/main" id="{3459968F-D033-44FE-8843-C60EB1A568B8}"/>
              </a:ext>
            </a:extLst>
          </xdr:cNvPr>
          <xdr:cNvSpPr/>
        </xdr:nvSpPr>
        <xdr:spPr>
          <a:xfrm>
            <a:off x="50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3" name="$B$2">
            <a:extLst>
              <a:ext uri="{FF2B5EF4-FFF2-40B4-BE49-F238E27FC236}">
                <a16:creationId xmlns:a16="http://schemas.microsoft.com/office/drawing/2014/main" id="{E98F2FBA-AC08-46DD-A1EA-A62F70AA4EF4}"/>
              </a:ext>
            </a:extLst>
          </xdr:cNvPr>
          <xdr:cNvSpPr/>
        </xdr:nvSpPr>
        <xdr:spPr>
          <a:xfrm>
            <a:off x="63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4" name="$B$2">
            <a:extLst>
              <a:ext uri="{FF2B5EF4-FFF2-40B4-BE49-F238E27FC236}">
                <a16:creationId xmlns:a16="http://schemas.microsoft.com/office/drawing/2014/main" id="{D5B70590-7C30-41AC-9E9A-45B87A3E5E78}"/>
              </a:ext>
            </a:extLst>
          </xdr:cNvPr>
          <xdr:cNvSpPr/>
        </xdr:nvSpPr>
        <xdr:spPr>
          <a:xfrm>
            <a:off x="762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5" name="$B$2">
            <a:extLst>
              <a:ext uri="{FF2B5EF4-FFF2-40B4-BE49-F238E27FC236}">
                <a16:creationId xmlns:a16="http://schemas.microsoft.com/office/drawing/2014/main" id="{807C335A-D904-4078-ACC9-A90FD591241F}"/>
              </a:ext>
            </a:extLst>
          </xdr:cNvPr>
          <xdr:cNvSpPr/>
        </xdr:nvSpPr>
        <xdr:spPr>
          <a:xfrm>
            <a:off x="889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6" name="$B$2">
            <a:extLst>
              <a:ext uri="{FF2B5EF4-FFF2-40B4-BE49-F238E27FC236}">
                <a16:creationId xmlns:a16="http://schemas.microsoft.com/office/drawing/2014/main" id="{8ABB54BA-88C9-4E2C-89E1-EB086F4177BD}"/>
              </a:ext>
            </a:extLst>
          </xdr:cNvPr>
          <xdr:cNvSpPr/>
        </xdr:nvSpPr>
        <xdr:spPr>
          <a:xfrm>
            <a:off x="101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7" name="$B$2">
            <a:extLst>
              <a:ext uri="{FF2B5EF4-FFF2-40B4-BE49-F238E27FC236}">
                <a16:creationId xmlns:a16="http://schemas.microsoft.com/office/drawing/2014/main" id="{33BFF72F-7D83-44F6-895E-3724F8C3E397}"/>
              </a:ext>
            </a:extLst>
          </xdr:cNvPr>
          <xdr:cNvSpPr/>
        </xdr:nvSpPr>
        <xdr:spPr>
          <a:xfrm>
            <a:off x="127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8" name="$B$2">
            <a:extLst>
              <a:ext uri="{FF2B5EF4-FFF2-40B4-BE49-F238E27FC236}">
                <a16:creationId xmlns:a16="http://schemas.microsoft.com/office/drawing/2014/main" id="{FDE2F922-B33D-4F20-93D4-17D64ABE714F}"/>
              </a:ext>
            </a:extLst>
          </xdr:cNvPr>
          <xdr:cNvSpPr/>
        </xdr:nvSpPr>
        <xdr:spPr>
          <a:xfrm>
            <a:off x="152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9" name="$B$2">
            <a:extLst>
              <a:ext uri="{FF2B5EF4-FFF2-40B4-BE49-F238E27FC236}">
                <a16:creationId xmlns:a16="http://schemas.microsoft.com/office/drawing/2014/main" id="{4DBDE995-E249-4217-BC80-D441F605B45D}"/>
              </a:ext>
            </a:extLst>
          </xdr:cNvPr>
          <xdr:cNvSpPr/>
        </xdr:nvSpPr>
        <xdr:spPr>
          <a:xfrm>
            <a:off x="177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0" name="$B$2">
            <a:extLst>
              <a:ext uri="{FF2B5EF4-FFF2-40B4-BE49-F238E27FC236}">
                <a16:creationId xmlns:a16="http://schemas.microsoft.com/office/drawing/2014/main" id="{48B0EDD7-81CE-41B8-89FC-E7F2C6B7350B}"/>
              </a:ext>
            </a:extLst>
          </xdr:cNvPr>
          <xdr:cNvSpPr/>
        </xdr:nvSpPr>
        <xdr:spPr>
          <a:xfrm>
            <a:off x="228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1" name="$B$2">
            <a:extLst>
              <a:ext uri="{FF2B5EF4-FFF2-40B4-BE49-F238E27FC236}">
                <a16:creationId xmlns:a16="http://schemas.microsoft.com/office/drawing/2014/main" id="{8949CD56-C9F5-4C5D-87F5-A800D236F60E}"/>
              </a:ext>
            </a:extLst>
          </xdr:cNvPr>
          <xdr:cNvSpPr/>
        </xdr:nvSpPr>
        <xdr:spPr>
          <a:xfrm>
            <a:off x="2413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2" name="$B$2">
            <a:extLst>
              <a:ext uri="{FF2B5EF4-FFF2-40B4-BE49-F238E27FC236}">
                <a16:creationId xmlns:a16="http://schemas.microsoft.com/office/drawing/2014/main" id="{0DB5A635-B4DF-48A7-9A03-8C349F6307CA}"/>
              </a:ext>
            </a:extLst>
          </xdr:cNvPr>
          <xdr:cNvSpPr/>
        </xdr:nvSpPr>
        <xdr:spPr>
          <a:xfrm>
            <a:off x="254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3" name="$B$2">
            <a:extLst>
              <a:ext uri="{FF2B5EF4-FFF2-40B4-BE49-F238E27FC236}">
                <a16:creationId xmlns:a16="http://schemas.microsoft.com/office/drawing/2014/main" id="{145E187C-8BA6-4B1F-8B62-7C486120CF5E}"/>
              </a:ext>
            </a:extLst>
          </xdr:cNvPr>
          <xdr:cNvSpPr/>
        </xdr:nvSpPr>
        <xdr:spPr>
          <a:xfrm>
            <a:off x="266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4" name="$B$2">
            <a:extLst>
              <a:ext uri="{FF2B5EF4-FFF2-40B4-BE49-F238E27FC236}">
                <a16:creationId xmlns:a16="http://schemas.microsoft.com/office/drawing/2014/main" id="{49C90298-82B7-44CA-B79F-2DA489043312}"/>
              </a:ext>
            </a:extLst>
          </xdr:cNvPr>
          <xdr:cNvSpPr/>
        </xdr:nvSpPr>
        <xdr:spPr>
          <a:xfrm>
            <a:off x="279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5" name="$B$2">
            <a:extLst>
              <a:ext uri="{FF2B5EF4-FFF2-40B4-BE49-F238E27FC236}">
                <a16:creationId xmlns:a16="http://schemas.microsoft.com/office/drawing/2014/main" id="{7A1A921F-762A-405E-A249-CC4CF8261ECE}"/>
              </a:ext>
            </a:extLst>
          </xdr:cNvPr>
          <xdr:cNvSpPr/>
        </xdr:nvSpPr>
        <xdr:spPr>
          <a:xfrm>
            <a:off x="304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6" name="$B$2">
            <a:extLst>
              <a:ext uri="{FF2B5EF4-FFF2-40B4-BE49-F238E27FC236}">
                <a16:creationId xmlns:a16="http://schemas.microsoft.com/office/drawing/2014/main" id="{C0539C30-90A7-4E34-BA6B-3378566A6D8C}"/>
              </a:ext>
            </a:extLst>
          </xdr:cNvPr>
          <xdr:cNvSpPr/>
        </xdr:nvSpPr>
        <xdr:spPr>
          <a:xfrm>
            <a:off x="3302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7" name="$B$2">
            <a:extLst>
              <a:ext uri="{FF2B5EF4-FFF2-40B4-BE49-F238E27FC236}">
                <a16:creationId xmlns:a16="http://schemas.microsoft.com/office/drawing/2014/main" id="{02B7005A-A0ED-4C00-93BD-1715FEC96803}"/>
              </a:ext>
            </a:extLst>
          </xdr:cNvPr>
          <xdr:cNvSpPr/>
        </xdr:nvSpPr>
        <xdr:spPr>
          <a:xfrm>
            <a:off x="3429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8" name="$B$2">
            <a:extLst>
              <a:ext uri="{FF2B5EF4-FFF2-40B4-BE49-F238E27FC236}">
                <a16:creationId xmlns:a16="http://schemas.microsoft.com/office/drawing/2014/main" id="{69F64882-074C-4CFE-A290-CDB6A23A9466}"/>
              </a:ext>
            </a:extLst>
          </xdr:cNvPr>
          <xdr:cNvSpPr/>
        </xdr:nvSpPr>
        <xdr:spPr>
          <a:xfrm>
            <a:off x="355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9" name="$B$2">
            <a:extLst>
              <a:ext uri="{FF2B5EF4-FFF2-40B4-BE49-F238E27FC236}">
                <a16:creationId xmlns:a16="http://schemas.microsoft.com/office/drawing/2014/main" id="{DA7D3B6F-8D05-46B7-96E5-A58F5F807A4B}"/>
              </a:ext>
            </a:extLst>
          </xdr:cNvPr>
          <xdr:cNvSpPr/>
        </xdr:nvSpPr>
        <xdr:spPr>
          <a:xfrm>
            <a:off x="419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0" name="$B$2">
            <a:extLst>
              <a:ext uri="{FF2B5EF4-FFF2-40B4-BE49-F238E27FC236}">
                <a16:creationId xmlns:a16="http://schemas.microsoft.com/office/drawing/2014/main" id="{0DAFE11A-1868-430C-8503-4C2EC65F3D27}"/>
              </a:ext>
            </a:extLst>
          </xdr:cNvPr>
          <xdr:cNvSpPr/>
        </xdr:nvSpPr>
        <xdr:spPr>
          <a:xfrm>
            <a:off x="444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1" name="$B$2">
            <a:extLst>
              <a:ext uri="{FF2B5EF4-FFF2-40B4-BE49-F238E27FC236}">
                <a16:creationId xmlns:a16="http://schemas.microsoft.com/office/drawing/2014/main" id="{6EC48231-26D3-4722-A726-3DCBD02223F7}"/>
              </a:ext>
            </a:extLst>
          </xdr:cNvPr>
          <xdr:cNvSpPr/>
        </xdr:nvSpPr>
        <xdr:spPr>
          <a:xfrm>
            <a:off x="520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2" name="$B$2">
            <a:extLst>
              <a:ext uri="{FF2B5EF4-FFF2-40B4-BE49-F238E27FC236}">
                <a16:creationId xmlns:a16="http://schemas.microsoft.com/office/drawing/2014/main" id="{9D5878B1-97D4-413B-82A7-2E517242183F}"/>
              </a:ext>
            </a:extLst>
          </xdr:cNvPr>
          <xdr:cNvSpPr/>
        </xdr:nvSpPr>
        <xdr:spPr>
          <a:xfrm>
            <a:off x="533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3" name="$B$2">
            <a:extLst>
              <a:ext uri="{FF2B5EF4-FFF2-40B4-BE49-F238E27FC236}">
                <a16:creationId xmlns:a16="http://schemas.microsoft.com/office/drawing/2014/main" id="{784EC2E6-8041-4A35-B351-B5474F7FB4EC}"/>
              </a:ext>
            </a:extLst>
          </xdr:cNvPr>
          <xdr:cNvSpPr/>
        </xdr:nvSpPr>
        <xdr:spPr>
          <a:xfrm>
            <a:off x="571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4" name="$B$2">
            <a:extLst>
              <a:ext uri="{FF2B5EF4-FFF2-40B4-BE49-F238E27FC236}">
                <a16:creationId xmlns:a16="http://schemas.microsoft.com/office/drawing/2014/main" id="{A27C8615-02DE-4D2D-8C6E-8DD9C9A4FB30}"/>
              </a:ext>
            </a:extLst>
          </xdr:cNvPr>
          <xdr:cNvSpPr/>
        </xdr:nvSpPr>
        <xdr:spPr>
          <a:xfrm>
            <a:off x="609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5" name="$B$2">
            <a:extLst>
              <a:ext uri="{FF2B5EF4-FFF2-40B4-BE49-F238E27FC236}">
                <a16:creationId xmlns:a16="http://schemas.microsoft.com/office/drawing/2014/main" id="{27630E93-671B-440E-9748-9C1D5E75EF53}"/>
              </a:ext>
            </a:extLst>
          </xdr:cNvPr>
          <xdr:cNvSpPr/>
        </xdr:nvSpPr>
        <xdr:spPr>
          <a:xfrm>
            <a:off x="6223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6" name="$B$2">
            <a:extLst>
              <a:ext uri="{FF2B5EF4-FFF2-40B4-BE49-F238E27FC236}">
                <a16:creationId xmlns:a16="http://schemas.microsoft.com/office/drawing/2014/main" id="{4453CB89-3214-4500-81D2-64D68BA8A8D5}"/>
              </a:ext>
            </a:extLst>
          </xdr:cNvPr>
          <xdr:cNvSpPr/>
        </xdr:nvSpPr>
        <xdr:spPr>
          <a:xfrm>
            <a:off x="635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7" name="$B$2">
            <a:extLst>
              <a:ext uri="{FF2B5EF4-FFF2-40B4-BE49-F238E27FC236}">
                <a16:creationId xmlns:a16="http://schemas.microsoft.com/office/drawing/2014/main" id="{1D9F2718-6A36-4706-A75B-3AFB41DE4FD6}"/>
              </a:ext>
            </a:extLst>
          </xdr:cNvPr>
          <xdr:cNvSpPr/>
        </xdr:nvSpPr>
        <xdr:spPr>
          <a:xfrm>
            <a:off x="660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8" name="$B$2">
            <a:extLst>
              <a:ext uri="{FF2B5EF4-FFF2-40B4-BE49-F238E27FC236}">
                <a16:creationId xmlns:a16="http://schemas.microsoft.com/office/drawing/2014/main" id="{06966F6C-F2D1-4C28-8928-D9DEAD96BF6D}"/>
              </a:ext>
            </a:extLst>
          </xdr:cNvPr>
          <xdr:cNvSpPr/>
        </xdr:nvSpPr>
        <xdr:spPr>
          <a:xfrm>
            <a:off x="673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9" name="$B$2">
            <a:extLst>
              <a:ext uri="{FF2B5EF4-FFF2-40B4-BE49-F238E27FC236}">
                <a16:creationId xmlns:a16="http://schemas.microsoft.com/office/drawing/2014/main" id="{268C8B90-BA90-45D1-B0E5-8D1050068C60}"/>
              </a:ext>
            </a:extLst>
          </xdr:cNvPr>
          <xdr:cNvSpPr/>
        </xdr:nvSpPr>
        <xdr:spPr>
          <a:xfrm>
            <a:off x="685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0" name="$B$2">
            <a:extLst>
              <a:ext uri="{FF2B5EF4-FFF2-40B4-BE49-F238E27FC236}">
                <a16:creationId xmlns:a16="http://schemas.microsoft.com/office/drawing/2014/main" id="{E515DE7A-DAE0-44E9-9008-5FA643B41D68}"/>
              </a:ext>
            </a:extLst>
          </xdr:cNvPr>
          <xdr:cNvSpPr/>
        </xdr:nvSpPr>
        <xdr:spPr>
          <a:xfrm>
            <a:off x="698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1" name="$B$2">
            <a:extLst>
              <a:ext uri="{FF2B5EF4-FFF2-40B4-BE49-F238E27FC236}">
                <a16:creationId xmlns:a16="http://schemas.microsoft.com/office/drawing/2014/main" id="{8592D295-6FAF-4728-87AB-8F4392877D74}"/>
              </a:ext>
            </a:extLst>
          </xdr:cNvPr>
          <xdr:cNvSpPr/>
        </xdr:nvSpPr>
        <xdr:spPr>
          <a:xfrm>
            <a:off x="7239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2" name="$B$2">
            <a:extLst>
              <a:ext uri="{FF2B5EF4-FFF2-40B4-BE49-F238E27FC236}">
                <a16:creationId xmlns:a16="http://schemas.microsoft.com/office/drawing/2014/main" id="{1793C4DD-0074-4B80-A83A-0CFC4A92764D}"/>
              </a:ext>
            </a:extLst>
          </xdr:cNvPr>
          <xdr:cNvSpPr/>
        </xdr:nvSpPr>
        <xdr:spPr>
          <a:xfrm>
            <a:off x="7493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3" name="$B$2">
            <a:extLst>
              <a:ext uri="{FF2B5EF4-FFF2-40B4-BE49-F238E27FC236}">
                <a16:creationId xmlns:a16="http://schemas.microsoft.com/office/drawing/2014/main" id="{51968719-E35E-4080-BD15-03D3203798B5}"/>
              </a:ext>
            </a:extLst>
          </xdr:cNvPr>
          <xdr:cNvSpPr/>
        </xdr:nvSpPr>
        <xdr:spPr>
          <a:xfrm>
            <a:off x="762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4" name="$B$2">
            <a:extLst>
              <a:ext uri="{FF2B5EF4-FFF2-40B4-BE49-F238E27FC236}">
                <a16:creationId xmlns:a16="http://schemas.microsoft.com/office/drawing/2014/main" id="{84C84161-6F8C-42FE-B204-B06DA03E4546}"/>
              </a:ext>
            </a:extLst>
          </xdr:cNvPr>
          <xdr:cNvSpPr/>
        </xdr:nvSpPr>
        <xdr:spPr>
          <a:xfrm>
            <a:off x="774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5" name="$B$2">
            <a:extLst>
              <a:ext uri="{FF2B5EF4-FFF2-40B4-BE49-F238E27FC236}">
                <a16:creationId xmlns:a16="http://schemas.microsoft.com/office/drawing/2014/main" id="{004B4551-8C3D-4E77-A45E-D5DC68D17D38}"/>
              </a:ext>
            </a:extLst>
          </xdr:cNvPr>
          <xdr:cNvSpPr/>
        </xdr:nvSpPr>
        <xdr:spPr>
          <a:xfrm>
            <a:off x="787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6" name="$B$2">
            <a:extLst>
              <a:ext uri="{FF2B5EF4-FFF2-40B4-BE49-F238E27FC236}">
                <a16:creationId xmlns:a16="http://schemas.microsoft.com/office/drawing/2014/main" id="{54DFDC02-EEDF-4F3C-BE1E-7BE7734C4BD5}"/>
              </a:ext>
            </a:extLst>
          </xdr:cNvPr>
          <xdr:cNvSpPr/>
        </xdr:nvSpPr>
        <xdr:spPr>
          <a:xfrm>
            <a:off x="800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7" name="$B$2">
            <a:extLst>
              <a:ext uri="{FF2B5EF4-FFF2-40B4-BE49-F238E27FC236}">
                <a16:creationId xmlns:a16="http://schemas.microsoft.com/office/drawing/2014/main" id="{40BDC310-1634-4D34-B875-391CC27BF693}"/>
              </a:ext>
            </a:extLst>
          </xdr:cNvPr>
          <xdr:cNvSpPr/>
        </xdr:nvSpPr>
        <xdr:spPr>
          <a:xfrm>
            <a:off x="825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8" name="$B$2">
            <a:extLst>
              <a:ext uri="{FF2B5EF4-FFF2-40B4-BE49-F238E27FC236}">
                <a16:creationId xmlns:a16="http://schemas.microsoft.com/office/drawing/2014/main" id="{DC66D5D1-B9BB-407E-A299-6EC0936B1340}"/>
              </a:ext>
            </a:extLst>
          </xdr:cNvPr>
          <xdr:cNvSpPr/>
        </xdr:nvSpPr>
        <xdr:spPr>
          <a:xfrm>
            <a:off x="8382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9" name="$B$2">
            <a:extLst>
              <a:ext uri="{FF2B5EF4-FFF2-40B4-BE49-F238E27FC236}">
                <a16:creationId xmlns:a16="http://schemas.microsoft.com/office/drawing/2014/main" id="{F6D05B69-449C-42C1-94A2-9B92B4F51BFB}"/>
              </a:ext>
            </a:extLst>
          </xdr:cNvPr>
          <xdr:cNvSpPr/>
        </xdr:nvSpPr>
        <xdr:spPr>
          <a:xfrm>
            <a:off x="8763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0" name="$B$2">
            <a:extLst>
              <a:ext uri="{FF2B5EF4-FFF2-40B4-BE49-F238E27FC236}">
                <a16:creationId xmlns:a16="http://schemas.microsoft.com/office/drawing/2014/main" id="{7109DBA9-2288-48F7-B15A-1478CB7EE9B3}"/>
              </a:ext>
            </a:extLst>
          </xdr:cNvPr>
          <xdr:cNvSpPr/>
        </xdr:nvSpPr>
        <xdr:spPr>
          <a:xfrm>
            <a:off x="889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1" name="$B$2">
            <a:extLst>
              <a:ext uri="{FF2B5EF4-FFF2-40B4-BE49-F238E27FC236}">
                <a16:creationId xmlns:a16="http://schemas.microsoft.com/office/drawing/2014/main" id="{9173B80C-5369-4928-9475-B59C6291C12D}"/>
              </a:ext>
            </a:extLst>
          </xdr:cNvPr>
          <xdr:cNvSpPr/>
        </xdr:nvSpPr>
        <xdr:spPr>
          <a:xfrm>
            <a:off x="901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2" name="$B$2">
            <a:extLst>
              <a:ext uri="{FF2B5EF4-FFF2-40B4-BE49-F238E27FC236}">
                <a16:creationId xmlns:a16="http://schemas.microsoft.com/office/drawing/2014/main" id="{DAC8BB19-5908-4458-AC73-238336E89CEB}"/>
              </a:ext>
            </a:extLst>
          </xdr:cNvPr>
          <xdr:cNvSpPr/>
        </xdr:nvSpPr>
        <xdr:spPr>
          <a:xfrm>
            <a:off x="914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3" name="$B$2">
            <a:extLst>
              <a:ext uri="{FF2B5EF4-FFF2-40B4-BE49-F238E27FC236}">
                <a16:creationId xmlns:a16="http://schemas.microsoft.com/office/drawing/2014/main" id="{9DBAEC4F-C724-4B46-9F3E-D2E3CFAE9DED}"/>
              </a:ext>
            </a:extLst>
          </xdr:cNvPr>
          <xdr:cNvSpPr/>
        </xdr:nvSpPr>
        <xdr:spPr>
          <a:xfrm>
            <a:off x="927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4" name="$B$2">
            <a:extLst>
              <a:ext uri="{FF2B5EF4-FFF2-40B4-BE49-F238E27FC236}">
                <a16:creationId xmlns:a16="http://schemas.microsoft.com/office/drawing/2014/main" id="{B93ED4A4-6AED-4394-B8D8-1385F8555DC2}"/>
              </a:ext>
            </a:extLst>
          </xdr:cNvPr>
          <xdr:cNvSpPr/>
        </xdr:nvSpPr>
        <xdr:spPr>
          <a:xfrm>
            <a:off x="939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5" name="$B$2">
            <a:extLst>
              <a:ext uri="{FF2B5EF4-FFF2-40B4-BE49-F238E27FC236}">
                <a16:creationId xmlns:a16="http://schemas.microsoft.com/office/drawing/2014/main" id="{85782BAF-493E-48C2-AAD1-70774896D14F}"/>
              </a:ext>
            </a:extLst>
          </xdr:cNvPr>
          <xdr:cNvSpPr/>
        </xdr:nvSpPr>
        <xdr:spPr>
          <a:xfrm>
            <a:off x="952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6" name="$B$2">
            <a:extLst>
              <a:ext uri="{FF2B5EF4-FFF2-40B4-BE49-F238E27FC236}">
                <a16:creationId xmlns:a16="http://schemas.microsoft.com/office/drawing/2014/main" id="{C43B9C4C-B33F-45E0-8A3E-33B4A1A82A18}"/>
              </a:ext>
            </a:extLst>
          </xdr:cNvPr>
          <xdr:cNvSpPr/>
        </xdr:nvSpPr>
        <xdr:spPr>
          <a:xfrm>
            <a:off x="9779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7" name="$B$2">
            <a:extLst>
              <a:ext uri="{FF2B5EF4-FFF2-40B4-BE49-F238E27FC236}">
                <a16:creationId xmlns:a16="http://schemas.microsoft.com/office/drawing/2014/main" id="{6B900D86-0F48-48B9-9BF2-4E33D76ABC70}"/>
              </a:ext>
            </a:extLst>
          </xdr:cNvPr>
          <xdr:cNvSpPr/>
        </xdr:nvSpPr>
        <xdr:spPr>
          <a:xfrm>
            <a:off x="1028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8" name="$B$2">
            <a:extLst>
              <a:ext uri="{FF2B5EF4-FFF2-40B4-BE49-F238E27FC236}">
                <a16:creationId xmlns:a16="http://schemas.microsoft.com/office/drawing/2014/main" id="{7D9416F6-36DD-4A43-A193-8A12945B8D5E}"/>
              </a:ext>
            </a:extLst>
          </xdr:cNvPr>
          <xdr:cNvSpPr/>
        </xdr:nvSpPr>
        <xdr:spPr>
          <a:xfrm>
            <a:off x="1054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9" name="$B$2">
            <a:extLst>
              <a:ext uri="{FF2B5EF4-FFF2-40B4-BE49-F238E27FC236}">
                <a16:creationId xmlns:a16="http://schemas.microsoft.com/office/drawing/2014/main" id="{714BAE33-E8C6-42E6-9FE0-57AB769DD5B2}"/>
              </a:ext>
            </a:extLst>
          </xdr:cNvPr>
          <xdr:cNvSpPr/>
        </xdr:nvSpPr>
        <xdr:spPr>
          <a:xfrm>
            <a:off x="10922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0" name="$B$2">
            <a:extLst>
              <a:ext uri="{FF2B5EF4-FFF2-40B4-BE49-F238E27FC236}">
                <a16:creationId xmlns:a16="http://schemas.microsoft.com/office/drawing/2014/main" id="{3731BCA2-19D4-4CF1-B8C8-5AD06AC16503}"/>
              </a:ext>
            </a:extLst>
          </xdr:cNvPr>
          <xdr:cNvSpPr/>
        </xdr:nvSpPr>
        <xdr:spPr>
          <a:xfrm>
            <a:off x="12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1" name="$B$2">
            <a:extLst>
              <a:ext uri="{FF2B5EF4-FFF2-40B4-BE49-F238E27FC236}">
                <a16:creationId xmlns:a16="http://schemas.microsoft.com/office/drawing/2014/main" id="{95C2464A-9E30-4A8B-AA53-F584E5A1D59E}"/>
              </a:ext>
            </a:extLst>
          </xdr:cNvPr>
          <xdr:cNvSpPr/>
        </xdr:nvSpPr>
        <xdr:spPr>
          <a:xfrm>
            <a:off x="25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2" name="$B$2">
            <a:extLst>
              <a:ext uri="{FF2B5EF4-FFF2-40B4-BE49-F238E27FC236}">
                <a16:creationId xmlns:a16="http://schemas.microsoft.com/office/drawing/2014/main" id="{280782C6-F141-4012-8155-5A0E06302E15}"/>
              </a:ext>
            </a:extLst>
          </xdr:cNvPr>
          <xdr:cNvSpPr/>
        </xdr:nvSpPr>
        <xdr:spPr>
          <a:xfrm>
            <a:off x="381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3" name="$B$2">
            <a:extLst>
              <a:ext uri="{FF2B5EF4-FFF2-40B4-BE49-F238E27FC236}">
                <a16:creationId xmlns:a16="http://schemas.microsoft.com/office/drawing/2014/main" id="{20DE487B-33E6-47AE-B3BD-46362999EA4E}"/>
              </a:ext>
            </a:extLst>
          </xdr:cNvPr>
          <xdr:cNvSpPr/>
        </xdr:nvSpPr>
        <xdr:spPr>
          <a:xfrm>
            <a:off x="50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4" name="$B$2">
            <a:extLst>
              <a:ext uri="{FF2B5EF4-FFF2-40B4-BE49-F238E27FC236}">
                <a16:creationId xmlns:a16="http://schemas.microsoft.com/office/drawing/2014/main" id="{2347A362-00F9-4E61-8AEE-63E89E5E4CC0}"/>
              </a:ext>
            </a:extLst>
          </xdr:cNvPr>
          <xdr:cNvSpPr/>
        </xdr:nvSpPr>
        <xdr:spPr>
          <a:xfrm>
            <a:off x="63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5" name="$B$2">
            <a:extLst>
              <a:ext uri="{FF2B5EF4-FFF2-40B4-BE49-F238E27FC236}">
                <a16:creationId xmlns:a16="http://schemas.microsoft.com/office/drawing/2014/main" id="{3B847CDE-A620-4903-A5AF-602E9DEF9AD3}"/>
              </a:ext>
            </a:extLst>
          </xdr:cNvPr>
          <xdr:cNvSpPr/>
        </xdr:nvSpPr>
        <xdr:spPr>
          <a:xfrm>
            <a:off x="762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6" name="$B$2">
            <a:extLst>
              <a:ext uri="{FF2B5EF4-FFF2-40B4-BE49-F238E27FC236}">
                <a16:creationId xmlns:a16="http://schemas.microsoft.com/office/drawing/2014/main" id="{6FB6338E-42B9-408D-8212-64494E2D2891}"/>
              </a:ext>
            </a:extLst>
          </xdr:cNvPr>
          <xdr:cNvSpPr/>
        </xdr:nvSpPr>
        <xdr:spPr>
          <a:xfrm>
            <a:off x="889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7" name="$B$2">
            <a:extLst>
              <a:ext uri="{FF2B5EF4-FFF2-40B4-BE49-F238E27FC236}">
                <a16:creationId xmlns:a16="http://schemas.microsoft.com/office/drawing/2014/main" id="{7104D02A-20DD-411B-AE48-5C8EA814D3D7}"/>
              </a:ext>
            </a:extLst>
          </xdr:cNvPr>
          <xdr:cNvSpPr/>
        </xdr:nvSpPr>
        <xdr:spPr>
          <a:xfrm>
            <a:off x="1016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8" name="$B$2">
            <a:extLst>
              <a:ext uri="{FF2B5EF4-FFF2-40B4-BE49-F238E27FC236}">
                <a16:creationId xmlns:a16="http://schemas.microsoft.com/office/drawing/2014/main" id="{E3368054-55CE-4EFF-AC81-B2B92F8AD772}"/>
              </a:ext>
            </a:extLst>
          </xdr:cNvPr>
          <xdr:cNvSpPr/>
        </xdr:nvSpPr>
        <xdr:spPr>
          <a:xfrm>
            <a:off x="1270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9" name="$B$2">
            <a:extLst>
              <a:ext uri="{FF2B5EF4-FFF2-40B4-BE49-F238E27FC236}">
                <a16:creationId xmlns:a16="http://schemas.microsoft.com/office/drawing/2014/main" id="{3EBDACE0-B251-4FE5-9996-2CE56BD9507E}"/>
              </a:ext>
            </a:extLst>
          </xdr:cNvPr>
          <xdr:cNvSpPr/>
        </xdr:nvSpPr>
        <xdr:spPr>
          <a:xfrm>
            <a:off x="152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0" name="$B$2">
            <a:extLst>
              <a:ext uri="{FF2B5EF4-FFF2-40B4-BE49-F238E27FC236}">
                <a16:creationId xmlns:a16="http://schemas.microsoft.com/office/drawing/2014/main" id="{A04BEAD7-7029-43D5-93CE-051294D56633}"/>
              </a:ext>
            </a:extLst>
          </xdr:cNvPr>
          <xdr:cNvSpPr/>
        </xdr:nvSpPr>
        <xdr:spPr>
          <a:xfrm>
            <a:off x="177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1" name="$B$2">
            <a:extLst>
              <a:ext uri="{FF2B5EF4-FFF2-40B4-BE49-F238E27FC236}">
                <a16:creationId xmlns:a16="http://schemas.microsoft.com/office/drawing/2014/main" id="{818D51C4-86C6-469B-8D41-40155200EA57}"/>
              </a:ext>
            </a:extLst>
          </xdr:cNvPr>
          <xdr:cNvSpPr/>
        </xdr:nvSpPr>
        <xdr:spPr>
          <a:xfrm>
            <a:off x="2286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2" name="$B$2">
            <a:extLst>
              <a:ext uri="{FF2B5EF4-FFF2-40B4-BE49-F238E27FC236}">
                <a16:creationId xmlns:a16="http://schemas.microsoft.com/office/drawing/2014/main" id="{30988EBA-341A-4412-8D00-E30F98B9851E}"/>
              </a:ext>
            </a:extLst>
          </xdr:cNvPr>
          <xdr:cNvSpPr/>
        </xdr:nvSpPr>
        <xdr:spPr>
          <a:xfrm>
            <a:off x="2540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3" name="$B$2">
            <a:extLst>
              <a:ext uri="{FF2B5EF4-FFF2-40B4-BE49-F238E27FC236}">
                <a16:creationId xmlns:a16="http://schemas.microsoft.com/office/drawing/2014/main" id="{6AF30773-F854-4833-9A42-34ACB75EA134}"/>
              </a:ext>
            </a:extLst>
          </xdr:cNvPr>
          <xdr:cNvSpPr/>
        </xdr:nvSpPr>
        <xdr:spPr>
          <a:xfrm>
            <a:off x="2921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4" name="$B$2">
            <a:extLst>
              <a:ext uri="{FF2B5EF4-FFF2-40B4-BE49-F238E27FC236}">
                <a16:creationId xmlns:a16="http://schemas.microsoft.com/office/drawing/2014/main" id="{0AED0FC9-60BF-4CCE-B528-04A1AC716BDD}"/>
              </a:ext>
            </a:extLst>
          </xdr:cNvPr>
          <xdr:cNvSpPr/>
        </xdr:nvSpPr>
        <xdr:spPr>
          <a:xfrm>
            <a:off x="304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5" name="$B$2">
            <a:extLst>
              <a:ext uri="{FF2B5EF4-FFF2-40B4-BE49-F238E27FC236}">
                <a16:creationId xmlns:a16="http://schemas.microsoft.com/office/drawing/2014/main" id="{E0887147-7575-4D46-AA68-E5B2D55169A1}"/>
              </a:ext>
            </a:extLst>
          </xdr:cNvPr>
          <xdr:cNvSpPr/>
        </xdr:nvSpPr>
        <xdr:spPr>
          <a:xfrm>
            <a:off x="317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6" name="$B$2">
            <a:extLst>
              <a:ext uri="{FF2B5EF4-FFF2-40B4-BE49-F238E27FC236}">
                <a16:creationId xmlns:a16="http://schemas.microsoft.com/office/drawing/2014/main" id="{538E316B-AE4D-4307-893E-D7137D844B78}"/>
              </a:ext>
            </a:extLst>
          </xdr:cNvPr>
          <xdr:cNvSpPr/>
        </xdr:nvSpPr>
        <xdr:spPr>
          <a:xfrm>
            <a:off x="3556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7" name="$B$2">
            <a:extLst>
              <a:ext uri="{FF2B5EF4-FFF2-40B4-BE49-F238E27FC236}">
                <a16:creationId xmlns:a16="http://schemas.microsoft.com/office/drawing/2014/main" id="{A846154A-211F-49BB-9828-2D0338ECE406}"/>
              </a:ext>
            </a:extLst>
          </xdr:cNvPr>
          <xdr:cNvSpPr/>
        </xdr:nvSpPr>
        <xdr:spPr>
          <a:xfrm>
            <a:off x="3683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8" name="$B$2">
            <a:extLst>
              <a:ext uri="{FF2B5EF4-FFF2-40B4-BE49-F238E27FC236}">
                <a16:creationId xmlns:a16="http://schemas.microsoft.com/office/drawing/2014/main" id="{547EF843-DF81-4403-B0B2-4B0CF71B46EE}"/>
              </a:ext>
            </a:extLst>
          </xdr:cNvPr>
          <xdr:cNvSpPr/>
        </xdr:nvSpPr>
        <xdr:spPr>
          <a:xfrm>
            <a:off x="3810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9" name="$B$2">
            <a:extLst>
              <a:ext uri="{FF2B5EF4-FFF2-40B4-BE49-F238E27FC236}">
                <a16:creationId xmlns:a16="http://schemas.microsoft.com/office/drawing/2014/main" id="{02F90C32-493A-41D6-8418-C8A32D925E95}"/>
              </a:ext>
            </a:extLst>
          </xdr:cNvPr>
          <xdr:cNvSpPr/>
        </xdr:nvSpPr>
        <xdr:spPr>
          <a:xfrm>
            <a:off x="444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0" name="$B$2">
            <a:extLst>
              <a:ext uri="{FF2B5EF4-FFF2-40B4-BE49-F238E27FC236}">
                <a16:creationId xmlns:a16="http://schemas.microsoft.com/office/drawing/2014/main" id="{B7D9DC08-39FE-4B9C-9230-3E55B7C7EBA6}"/>
              </a:ext>
            </a:extLst>
          </xdr:cNvPr>
          <xdr:cNvSpPr/>
        </xdr:nvSpPr>
        <xdr:spPr>
          <a:xfrm>
            <a:off x="4572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1" name="$B$2">
            <a:extLst>
              <a:ext uri="{FF2B5EF4-FFF2-40B4-BE49-F238E27FC236}">
                <a16:creationId xmlns:a16="http://schemas.microsoft.com/office/drawing/2014/main" id="{53AE66BF-518A-45B3-9646-8971B3551D75}"/>
              </a:ext>
            </a:extLst>
          </xdr:cNvPr>
          <xdr:cNvSpPr/>
        </xdr:nvSpPr>
        <xdr:spPr>
          <a:xfrm>
            <a:off x="4699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2" name="$B$2">
            <a:extLst>
              <a:ext uri="{FF2B5EF4-FFF2-40B4-BE49-F238E27FC236}">
                <a16:creationId xmlns:a16="http://schemas.microsoft.com/office/drawing/2014/main" id="{608BA826-A134-4AD1-BAD0-9032570EFE1A}"/>
              </a:ext>
            </a:extLst>
          </xdr:cNvPr>
          <xdr:cNvSpPr/>
        </xdr:nvSpPr>
        <xdr:spPr>
          <a:xfrm>
            <a:off x="4826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3" name="$B$2">
            <a:extLst>
              <a:ext uri="{FF2B5EF4-FFF2-40B4-BE49-F238E27FC236}">
                <a16:creationId xmlns:a16="http://schemas.microsoft.com/office/drawing/2014/main" id="{6063C46D-6B0B-4DA7-8859-9F79F83944AB}"/>
              </a:ext>
            </a:extLst>
          </xdr:cNvPr>
          <xdr:cNvSpPr/>
        </xdr:nvSpPr>
        <xdr:spPr>
          <a:xfrm>
            <a:off x="5080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4" name="$B$2">
            <a:extLst>
              <a:ext uri="{FF2B5EF4-FFF2-40B4-BE49-F238E27FC236}">
                <a16:creationId xmlns:a16="http://schemas.microsoft.com/office/drawing/2014/main" id="{B95DB71B-03A1-48A8-B6FE-50F1A1971EB9}"/>
              </a:ext>
            </a:extLst>
          </xdr:cNvPr>
          <xdr:cNvSpPr/>
        </xdr:nvSpPr>
        <xdr:spPr>
          <a:xfrm>
            <a:off x="520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5" name="$B$2">
            <a:extLst>
              <a:ext uri="{FF2B5EF4-FFF2-40B4-BE49-F238E27FC236}">
                <a16:creationId xmlns:a16="http://schemas.microsoft.com/office/drawing/2014/main" id="{FD5A485D-617D-4FD4-A90E-20A3E9D7EE1E}"/>
              </a:ext>
            </a:extLst>
          </xdr:cNvPr>
          <xdr:cNvSpPr/>
        </xdr:nvSpPr>
        <xdr:spPr>
          <a:xfrm>
            <a:off x="533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6" name="$B$2">
            <a:extLst>
              <a:ext uri="{FF2B5EF4-FFF2-40B4-BE49-F238E27FC236}">
                <a16:creationId xmlns:a16="http://schemas.microsoft.com/office/drawing/2014/main" id="{A0A36E7A-7CA8-41F4-8925-C83D075E1502}"/>
              </a:ext>
            </a:extLst>
          </xdr:cNvPr>
          <xdr:cNvSpPr/>
        </xdr:nvSpPr>
        <xdr:spPr>
          <a:xfrm>
            <a:off x="558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7" name="$B$2">
            <a:extLst>
              <a:ext uri="{FF2B5EF4-FFF2-40B4-BE49-F238E27FC236}">
                <a16:creationId xmlns:a16="http://schemas.microsoft.com/office/drawing/2014/main" id="{15B5BB47-3BEF-4559-A8EE-320AE4F5AD52}"/>
              </a:ext>
            </a:extLst>
          </xdr:cNvPr>
          <xdr:cNvSpPr/>
        </xdr:nvSpPr>
        <xdr:spPr>
          <a:xfrm>
            <a:off x="571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8" name="$B$2">
            <a:extLst>
              <a:ext uri="{FF2B5EF4-FFF2-40B4-BE49-F238E27FC236}">
                <a16:creationId xmlns:a16="http://schemas.microsoft.com/office/drawing/2014/main" id="{F1EF7465-3838-4850-A3EB-28423E6AA471}"/>
              </a:ext>
            </a:extLst>
          </xdr:cNvPr>
          <xdr:cNvSpPr/>
        </xdr:nvSpPr>
        <xdr:spPr>
          <a:xfrm>
            <a:off x="5969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9" name="$B$2">
            <a:extLst>
              <a:ext uri="{FF2B5EF4-FFF2-40B4-BE49-F238E27FC236}">
                <a16:creationId xmlns:a16="http://schemas.microsoft.com/office/drawing/2014/main" id="{E7B3073C-AF78-42B4-B0B5-BA9572A2DA29}"/>
              </a:ext>
            </a:extLst>
          </xdr:cNvPr>
          <xdr:cNvSpPr/>
        </xdr:nvSpPr>
        <xdr:spPr>
          <a:xfrm>
            <a:off x="6096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0" name="$B$2">
            <a:extLst>
              <a:ext uri="{FF2B5EF4-FFF2-40B4-BE49-F238E27FC236}">
                <a16:creationId xmlns:a16="http://schemas.microsoft.com/office/drawing/2014/main" id="{13664225-4258-49AD-BE67-01FC28B55210}"/>
              </a:ext>
            </a:extLst>
          </xdr:cNvPr>
          <xdr:cNvSpPr/>
        </xdr:nvSpPr>
        <xdr:spPr>
          <a:xfrm>
            <a:off x="6223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1" name="$B$2">
            <a:extLst>
              <a:ext uri="{FF2B5EF4-FFF2-40B4-BE49-F238E27FC236}">
                <a16:creationId xmlns:a16="http://schemas.microsoft.com/office/drawing/2014/main" id="{75DD5796-D220-4141-B6C1-0ACC48A8560B}"/>
              </a:ext>
            </a:extLst>
          </xdr:cNvPr>
          <xdr:cNvSpPr/>
        </xdr:nvSpPr>
        <xdr:spPr>
          <a:xfrm>
            <a:off x="660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2" name="$B$2">
            <a:extLst>
              <a:ext uri="{FF2B5EF4-FFF2-40B4-BE49-F238E27FC236}">
                <a16:creationId xmlns:a16="http://schemas.microsoft.com/office/drawing/2014/main" id="{376515F6-5480-4E07-8EE4-DB0C6719E66E}"/>
              </a:ext>
            </a:extLst>
          </xdr:cNvPr>
          <xdr:cNvSpPr/>
        </xdr:nvSpPr>
        <xdr:spPr>
          <a:xfrm>
            <a:off x="685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3" name="$B$2">
            <a:extLst>
              <a:ext uri="{FF2B5EF4-FFF2-40B4-BE49-F238E27FC236}">
                <a16:creationId xmlns:a16="http://schemas.microsoft.com/office/drawing/2014/main" id="{F9BABF8C-22F6-492E-95E7-6922F4D58C9F}"/>
              </a:ext>
            </a:extLst>
          </xdr:cNvPr>
          <xdr:cNvSpPr/>
        </xdr:nvSpPr>
        <xdr:spPr>
          <a:xfrm>
            <a:off x="7239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4" name="$B$2">
            <a:extLst>
              <a:ext uri="{FF2B5EF4-FFF2-40B4-BE49-F238E27FC236}">
                <a16:creationId xmlns:a16="http://schemas.microsoft.com/office/drawing/2014/main" id="{1978C164-56D0-4CA5-80E0-EEA26D3259DA}"/>
              </a:ext>
            </a:extLst>
          </xdr:cNvPr>
          <xdr:cNvSpPr/>
        </xdr:nvSpPr>
        <xdr:spPr>
          <a:xfrm>
            <a:off x="7366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5" name="$B$2">
            <a:extLst>
              <a:ext uri="{FF2B5EF4-FFF2-40B4-BE49-F238E27FC236}">
                <a16:creationId xmlns:a16="http://schemas.microsoft.com/office/drawing/2014/main" id="{BD46F643-4EAB-4DCB-AF59-4C472A6AD4D4}"/>
              </a:ext>
            </a:extLst>
          </xdr:cNvPr>
          <xdr:cNvSpPr/>
        </xdr:nvSpPr>
        <xdr:spPr>
          <a:xfrm>
            <a:off x="7493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6" name="$B$2">
            <a:extLst>
              <a:ext uri="{FF2B5EF4-FFF2-40B4-BE49-F238E27FC236}">
                <a16:creationId xmlns:a16="http://schemas.microsoft.com/office/drawing/2014/main" id="{10FDDFE3-281F-4163-BEED-D7C844CA10CB}"/>
              </a:ext>
            </a:extLst>
          </xdr:cNvPr>
          <xdr:cNvSpPr/>
        </xdr:nvSpPr>
        <xdr:spPr>
          <a:xfrm>
            <a:off x="774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7" name="$B$2">
            <a:extLst>
              <a:ext uri="{FF2B5EF4-FFF2-40B4-BE49-F238E27FC236}">
                <a16:creationId xmlns:a16="http://schemas.microsoft.com/office/drawing/2014/main" id="{8EFEC4E6-A5E7-4DDC-87E1-645842C6C43C}"/>
              </a:ext>
            </a:extLst>
          </xdr:cNvPr>
          <xdr:cNvSpPr/>
        </xdr:nvSpPr>
        <xdr:spPr>
          <a:xfrm>
            <a:off x="787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8" name="$B$2">
            <a:extLst>
              <a:ext uri="{FF2B5EF4-FFF2-40B4-BE49-F238E27FC236}">
                <a16:creationId xmlns:a16="http://schemas.microsoft.com/office/drawing/2014/main" id="{3DA3D953-1671-4D82-9852-F2268EC475F3}"/>
              </a:ext>
            </a:extLst>
          </xdr:cNvPr>
          <xdr:cNvSpPr/>
        </xdr:nvSpPr>
        <xdr:spPr>
          <a:xfrm>
            <a:off x="8001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9" name="$B$2">
            <a:extLst>
              <a:ext uri="{FF2B5EF4-FFF2-40B4-BE49-F238E27FC236}">
                <a16:creationId xmlns:a16="http://schemas.microsoft.com/office/drawing/2014/main" id="{CBD6E919-11EA-4F61-8D81-FD81B11CA11E}"/>
              </a:ext>
            </a:extLst>
          </xdr:cNvPr>
          <xdr:cNvSpPr/>
        </xdr:nvSpPr>
        <xdr:spPr>
          <a:xfrm>
            <a:off x="8763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0" name="$B$2">
            <a:extLst>
              <a:ext uri="{FF2B5EF4-FFF2-40B4-BE49-F238E27FC236}">
                <a16:creationId xmlns:a16="http://schemas.microsoft.com/office/drawing/2014/main" id="{DA1F7862-3DC6-435C-B618-7C63FFD799E9}"/>
              </a:ext>
            </a:extLst>
          </xdr:cNvPr>
          <xdr:cNvSpPr/>
        </xdr:nvSpPr>
        <xdr:spPr>
          <a:xfrm>
            <a:off x="8890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1" name="$B$2">
            <a:extLst>
              <a:ext uri="{FF2B5EF4-FFF2-40B4-BE49-F238E27FC236}">
                <a16:creationId xmlns:a16="http://schemas.microsoft.com/office/drawing/2014/main" id="{367A5960-F369-4FAE-9F4B-8F87CD8C2F72}"/>
              </a:ext>
            </a:extLst>
          </xdr:cNvPr>
          <xdr:cNvSpPr/>
        </xdr:nvSpPr>
        <xdr:spPr>
          <a:xfrm>
            <a:off x="901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2" name="$B$2">
            <a:extLst>
              <a:ext uri="{FF2B5EF4-FFF2-40B4-BE49-F238E27FC236}">
                <a16:creationId xmlns:a16="http://schemas.microsoft.com/office/drawing/2014/main" id="{DD6461D3-9BDE-4C04-9046-6205DE52B670}"/>
              </a:ext>
            </a:extLst>
          </xdr:cNvPr>
          <xdr:cNvSpPr/>
        </xdr:nvSpPr>
        <xdr:spPr>
          <a:xfrm>
            <a:off x="914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3" name="$B$2">
            <a:extLst>
              <a:ext uri="{FF2B5EF4-FFF2-40B4-BE49-F238E27FC236}">
                <a16:creationId xmlns:a16="http://schemas.microsoft.com/office/drawing/2014/main" id="{64FF6543-2720-47DD-8AB9-FEBA2F3BF9BA}"/>
              </a:ext>
            </a:extLst>
          </xdr:cNvPr>
          <xdr:cNvSpPr/>
        </xdr:nvSpPr>
        <xdr:spPr>
          <a:xfrm>
            <a:off x="9271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4" name="$B$2">
            <a:extLst>
              <a:ext uri="{FF2B5EF4-FFF2-40B4-BE49-F238E27FC236}">
                <a16:creationId xmlns:a16="http://schemas.microsoft.com/office/drawing/2014/main" id="{E70543BB-D4C6-4FBB-81FE-8998FD460285}"/>
              </a:ext>
            </a:extLst>
          </xdr:cNvPr>
          <xdr:cNvSpPr/>
        </xdr:nvSpPr>
        <xdr:spPr>
          <a:xfrm>
            <a:off x="939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5" name="$B$2">
            <a:extLst>
              <a:ext uri="{FF2B5EF4-FFF2-40B4-BE49-F238E27FC236}">
                <a16:creationId xmlns:a16="http://schemas.microsoft.com/office/drawing/2014/main" id="{C91EB295-892E-4922-8C5E-62A3E9C38F7B}"/>
              </a:ext>
            </a:extLst>
          </xdr:cNvPr>
          <xdr:cNvSpPr/>
        </xdr:nvSpPr>
        <xdr:spPr>
          <a:xfrm>
            <a:off x="952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6" name="$B$2">
            <a:extLst>
              <a:ext uri="{FF2B5EF4-FFF2-40B4-BE49-F238E27FC236}">
                <a16:creationId xmlns:a16="http://schemas.microsoft.com/office/drawing/2014/main" id="{7B475C26-C2A6-470A-802C-3C2B73F16A06}"/>
              </a:ext>
            </a:extLst>
          </xdr:cNvPr>
          <xdr:cNvSpPr/>
        </xdr:nvSpPr>
        <xdr:spPr>
          <a:xfrm>
            <a:off x="9779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7" name="$B$2">
            <a:extLst>
              <a:ext uri="{FF2B5EF4-FFF2-40B4-BE49-F238E27FC236}">
                <a16:creationId xmlns:a16="http://schemas.microsoft.com/office/drawing/2014/main" id="{9564BA3B-7EAD-438C-81BE-77E421E24676}"/>
              </a:ext>
            </a:extLst>
          </xdr:cNvPr>
          <xdr:cNvSpPr/>
        </xdr:nvSpPr>
        <xdr:spPr>
          <a:xfrm>
            <a:off x="1028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8" name="$B$2">
            <a:extLst>
              <a:ext uri="{FF2B5EF4-FFF2-40B4-BE49-F238E27FC236}">
                <a16:creationId xmlns:a16="http://schemas.microsoft.com/office/drawing/2014/main" id="{CA9D7D9E-681C-4D62-9C47-2020DE530E41}"/>
              </a:ext>
            </a:extLst>
          </xdr:cNvPr>
          <xdr:cNvSpPr/>
        </xdr:nvSpPr>
        <xdr:spPr>
          <a:xfrm>
            <a:off x="10541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9" name="$B$2">
            <a:extLst>
              <a:ext uri="{FF2B5EF4-FFF2-40B4-BE49-F238E27FC236}">
                <a16:creationId xmlns:a16="http://schemas.microsoft.com/office/drawing/2014/main" id="{A769EF82-73A0-4473-AC8A-B7FC8B782BAC}"/>
              </a:ext>
            </a:extLst>
          </xdr:cNvPr>
          <xdr:cNvSpPr/>
        </xdr:nvSpPr>
        <xdr:spPr>
          <a:xfrm>
            <a:off x="10922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0" name="$B$2">
            <a:extLst>
              <a:ext uri="{FF2B5EF4-FFF2-40B4-BE49-F238E27FC236}">
                <a16:creationId xmlns:a16="http://schemas.microsoft.com/office/drawing/2014/main" id="{8F791774-D967-4502-B05F-F21454D9A204}"/>
              </a:ext>
            </a:extLst>
          </xdr:cNvPr>
          <xdr:cNvSpPr/>
        </xdr:nvSpPr>
        <xdr:spPr>
          <a:xfrm>
            <a:off x="12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1" name="$B$2">
            <a:extLst>
              <a:ext uri="{FF2B5EF4-FFF2-40B4-BE49-F238E27FC236}">
                <a16:creationId xmlns:a16="http://schemas.microsoft.com/office/drawing/2014/main" id="{1F97B316-761B-4A33-8F97-72B69AC23D6F}"/>
              </a:ext>
            </a:extLst>
          </xdr:cNvPr>
          <xdr:cNvSpPr/>
        </xdr:nvSpPr>
        <xdr:spPr>
          <a:xfrm>
            <a:off x="25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2" name="$B$2">
            <a:extLst>
              <a:ext uri="{FF2B5EF4-FFF2-40B4-BE49-F238E27FC236}">
                <a16:creationId xmlns:a16="http://schemas.microsoft.com/office/drawing/2014/main" id="{809AFA6C-79EF-4C3C-B690-E4273EDDD32D}"/>
              </a:ext>
            </a:extLst>
          </xdr:cNvPr>
          <xdr:cNvSpPr/>
        </xdr:nvSpPr>
        <xdr:spPr>
          <a:xfrm>
            <a:off x="381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3" name="$B$2">
            <a:extLst>
              <a:ext uri="{FF2B5EF4-FFF2-40B4-BE49-F238E27FC236}">
                <a16:creationId xmlns:a16="http://schemas.microsoft.com/office/drawing/2014/main" id="{8C2EC685-52C4-4368-9B8B-B881D7140470}"/>
              </a:ext>
            </a:extLst>
          </xdr:cNvPr>
          <xdr:cNvSpPr/>
        </xdr:nvSpPr>
        <xdr:spPr>
          <a:xfrm>
            <a:off x="50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4" name="$B$2">
            <a:extLst>
              <a:ext uri="{FF2B5EF4-FFF2-40B4-BE49-F238E27FC236}">
                <a16:creationId xmlns:a16="http://schemas.microsoft.com/office/drawing/2014/main" id="{21A80138-6718-43B3-87DC-49B9195E0142}"/>
              </a:ext>
            </a:extLst>
          </xdr:cNvPr>
          <xdr:cNvSpPr/>
        </xdr:nvSpPr>
        <xdr:spPr>
          <a:xfrm>
            <a:off x="63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5" name="$B$2">
            <a:extLst>
              <a:ext uri="{FF2B5EF4-FFF2-40B4-BE49-F238E27FC236}">
                <a16:creationId xmlns:a16="http://schemas.microsoft.com/office/drawing/2014/main" id="{CABF9562-66F9-4F1C-A8A5-8A78DEDA9849}"/>
              </a:ext>
            </a:extLst>
          </xdr:cNvPr>
          <xdr:cNvSpPr/>
        </xdr:nvSpPr>
        <xdr:spPr>
          <a:xfrm>
            <a:off x="76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6" name="$B$2">
            <a:extLst>
              <a:ext uri="{FF2B5EF4-FFF2-40B4-BE49-F238E27FC236}">
                <a16:creationId xmlns:a16="http://schemas.microsoft.com/office/drawing/2014/main" id="{DD523417-724B-4E5A-8302-189B076B27EA}"/>
              </a:ext>
            </a:extLst>
          </xdr:cNvPr>
          <xdr:cNvSpPr/>
        </xdr:nvSpPr>
        <xdr:spPr>
          <a:xfrm>
            <a:off x="88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7" name="$B$2">
            <a:extLst>
              <a:ext uri="{FF2B5EF4-FFF2-40B4-BE49-F238E27FC236}">
                <a16:creationId xmlns:a16="http://schemas.microsoft.com/office/drawing/2014/main" id="{10AEF82F-8160-4E5C-8C88-22E57B76EFD5}"/>
              </a:ext>
            </a:extLst>
          </xdr:cNvPr>
          <xdr:cNvSpPr/>
        </xdr:nvSpPr>
        <xdr:spPr>
          <a:xfrm>
            <a:off x="1016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8" name="$B$2">
            <a:extLst>
              <a:ext uri="{FF2B5EF4-FFF2-40B4-BE49-F238E27FC236}">
                <a16:creationId xmlns:a16="http://schemas.microsoft.com/office/drawing/2014/main" id="{41A25FE6-15B3-46C7-B4E8-5A51CC514CB0}"/>
              </a:ext>
            </a:extLst>
          </xdr:cNvPr>
          <xdr:cNvSpPr/>
        </xdr:nvSpPr>
        <xdr:spPr>
          <a:xfrm>
            <a:off x="127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9" name="$B$2">
            <a:extLst>
              <a:ext uri="{FF2B5EF4-FFF2-40B4-BE49-F238E27FC236}">
                <a16:creationId xmlns:a16="http://schemas.microsoft.com/office/drawing/2014/main" id="{2B6BF09C-BD35-4D71-883F-305FEC8AC127}"/>
              </a:ext>
            </a:extLst>
          </xdr:cNvPr>
          <xdr:cNvSpPr/>
        </xdr:nvSpPr>
        <xdr:spPr>
          <a:xfrm>
            <a:off x="152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0" name="$B$2">
            <a:extLst>
              <a:ext uri="{FF2B5EF4-FFF2-40B4-BE49-F238E27FC236}">
                <a16:creationId xmlns:a16="http://schemas.microsoft.com/office/drawing/2014/main" id="{80ED1220-A8A1-48AF-AAC7-DC03A69BC918}"/>
              </a:ext>
            </a:extLst>
          </xdr:cNvPr>
          <xdr:cNvSpPr/>
        </xdr:nvSpPr>
        <xdr:spPr>
          <a:xfrm>
            <a:off x="177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1" name="$B$2">
            <a:extLst>
              <a:ext uri="{FF2B5EF4-FFF2-40B4-BE49-F238E27FC236}">
                <a16:creationId xmlns:a16="http://schemas.microsoft.com/office/drawing/2014/main" id="{3D036F28-97F0-4402-A152-8B49C2B3E6DC}"/>
              </a:ext>
            </a:extLst>
          </xdr:cNvPr>
          <xdr:cNvSpPr/>
        </xdr:nvSpPr>
        <xdr:spPr>
          <a:xfrm>
            <a:off x="2286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2" name="$B$2">
            <a:extLst>
              <a:ext uri="{FF2B5EF4-FFF2-40B4-BE49-F238E27FC236}">
                <a16:creationId xmlns:a16="http://schemas.microsoft.com/office/drawing/2014/main" id="{2386503D-EC1D-4B48-ADAA-02A94A27ADC5}"/>
              </a:ext>
            </a:extLst>
          </xdr:cNvPr>
          <xdr:cNvSpPr/>
        </xdr:nvSpPr>
        <xdr:spPr>
          <a:xfrm>
            <a:off x="241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3" name="$B$2">
            <a:extLst>
              <a:ext uri="{FF2B5EF4-FFF2-40B4-BE49-F238E27FC236}">
                <a16:creationId xmlns:a16="http://schemas.microsoft.com/office/drawing/2014/main" id="{38584640-A8E4-4EE1-B47B-0291461A1B4F}"/>
              </a:ext>
            </a:extLst>
          </xdr:cNvPr>
          <xdr:cNvSpPr/>
        </xdr:nvSpPr>
        <xdr:spPr>
          <a:xfrm>
            <a:off x="254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4" name="$B$2">
            <a:extLst>
              <a:ext uri="{FF2B5EF4-FFF2-40B4-BE49-F238E27FC236}">
                <a16:creationId xmlns:a16="http://schemas.microsoft.com/office/drawing/2014/main" id="{B7FBC71E-3AC6-4BA8-95B4-CD62C082AB08}"/>
              </a:ext>
            </a:extLst>
          </xdr:cNvPr>
          <xdr:cNvSpPr/>
        </xdr:nvSpPr>
        <xdr:spPr>
          <a:xfrm>
            <a:off x="266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5" name="$B$2">
            <a:extLst>
              <a:ext uri="{FF2B5EF4-FFF2-40B4-BE49-F238E27FC236}">
                <a16:creationId xmlns:a16="http://schemas.microsoft.com/office/drawing/2014/main" id="{998A2E74-4C98-4C85-953A-127DC27FCC8B}"/>
              </a:ext>
            </a:extLst>
          </xdr:cNvPr>
          <xdr:cNvSpPr/>
        </xdr:nvSpPr>
        <xdr:spPr>
          <a:xfrm>
            <a:off x="279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6" name="$B$2">
            <a:extLst>
              <a:ext uri="{FF2B5EF4-FFF2-40B4-BE49-F238E27FC236}">
                <a16:creationId xmlns:a16="http://schemas.microsoft.com/office/drawing/2014/main" id="{18E675E5-24C2-4F65-BB21-F152ED7BED9B}"/>
              </a:ext>
            </a:extLst>
          </xdr:cNvPr>
          <xdr:cNvSpPr/>
        </xdr:nvSpPr>
        <xdr:spPr>
          <a:xfrm>
            <a:off x="2921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7" name="$B$2">
            <a:extLst>
              <a:ext uri="{FF2B5EF4-FFF2-40B4-BE49-F238E27FC236}">
                <a16:creationId xmlns:a16="http://schemas.microsoft.com/office/drawing/2014/main" id="{C6321088-BDA8-4649-AEED-46083C7981E5}"/>
              </a:ext>
            </a:extLst>
          </xdr:cNvPr>
          <xdr:cNvSpPr/>
        </xdr:nvSpPr>
        <xdr:spPr>
          <a:xfrm>
            <a:off x="317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8" name="$B$2">
            <a:extLst>
              <a:ext uri="{FF2B5EF4-FFF2-40B4-BE49-F238E27FC236}">
                <a16:creationId xmlns:a16="http://schemas.microsoft.com/office/drawing/2014/main" id="{B814F080-7D13-4418-A8C8-4EDE7208F30B}"/>
              </a:ext>
            </a:extLst>
          </xdr:cNvPr>
          <xdr:cNvSpPr/>
        </xdr:nvSpPr>
        <xdr:spPr>
          <a:xfrm>
            <a:off x="3556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9" name="$B$2">
            <a:extLst>
              <a:ext uri="{FF2B5EF4-FFF2-40B4-BE49-F238E27FC236}">
                <a16:creationId xmlns:a16="http://schemas.microsoft.com/office/drawing/2014/main" id="{80FDA66D-1C8B-416D-8315-51270DC382BD}"/>
              </a:ext>
            </a:extLst>
          </xdr:cNvPr>
          <xdr:cNvSpPr/>
        </xdr:nvSpPr>
        <xdr:spPr>
          <a:xfrm>
            <a:off x="381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0" name="$B$2">
            <a:extLst>
              <a:ext uri="{FF2B5EF4-FFF2-40B4-BE49-F238E27FC236}">
                <a16:creationId xmlns:a16="http://schemas.microsoft.com/office/drawing/2014/main" id="{D308C7A5-1F6D-443F-BA70-B89D90429E4B}"/>
              </a:ext>
            </a:extLst>
          </xdr:cNvPr>
          <xdr:cNvSpPr/>
        </xdr:nvSpPr>
        <xdr:spPr>
          <a:xfrm>
            <a:off x="393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1" name="$B$2">
            <a:extLst>
              <a:ext uri="{FF2B5EF4-FFF2-40B4-BE49-F238E27FC236}">
                <a16:creationId xmlns:a16="http://schemas.microsoft.com/office/drawing/2014/main" id="{712AF244-0542-4196-9431-792B0E56AAA3}"/>
              </a:ext>
            </a:extLst>
          </xdr:cNvPr>
          <xdr:cNvSpPr/>
        </xdr:nvSpPr>
        <xdr:spPr>
          <a:xfrm>
            <a:off x="406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2" name="$B$2">
            <a:extLst>
              <a:ext uri="{FF2B5EF4-FFF2-40B4-BE49-F238E27FC236}">
                <a16:creationId xmlns:a16="http://schemas.microsoft.com/office/drawing/2014/main" id="{EC2D13F1-B7CA-4AF4-BF2A-58907C0E7D75}"/>
              </a:ext>
            </a:extLst>
          </xdr:cNvPr>
          <xdr:cNvSpPr/>
        </xdr:nvSpPr>
        <xdr:spPr>
          <a:xfrm>
            <a:off x="444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3" name="$B$2">
            <a:extLst>
              <a:ext uri="{FF2B5EF4-FFF2-40B4-BE49-F238E27FC236}">
                <a16:creationId xmlns:a16="http://schemas.microsoft.com/office/drawing/2014/main" id="{2843FE0C-1FA7-4BCA-95C5-7487C8CB921D}"/>
              </a:ext>
            </a:extLst>
          </xdr:cNvPr>
          <xdr:cNvSpPr/>
        </xdr:nvSpPr>
        <xdr:spPr>
          <a:xfrm>
            <a:off x="457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4" name="$B$2">
            <a:extLst>
              <a:ext uri="{FF2B5EF4-FFF2-40B4-BE49-F238E27FC236}">
                <a16:creationId xmlns:a16="http://schemas.microsoft.com/office/drawing/2014/main" id="{AE33374C-63C4-4F98-9882-CAF007153E99}"/>
              </a:ext>
            </a:extLst>
          </xdr:cNvPr>
          <xdr:cNvSpPr/>
        </xdr:nvSpPr>
        <xdr:spPr>
          <a:xfrm>
            <a:off x="469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5" name="$B$2">
            <a:extLst>
              <a:ext uri="{FF2B5EF4-FFF2-40B4-BE49-F238E27FC236}">
                <a16:creationId xmlns:a16="http://schemas.microsoft.com/office/drawing/2014/main" id="{BED742D3-B895-481F-81FA-4E281C2C626B}"/>
              </a:ext>
            </a:extLst>
          </xdr:cNvPr>
          <xdr:cNvSpPr/>
        </xdr:nvSpPr>
        <xdr:spPr>
          <a:xfrm>
            <a:off x="4826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6" name="$B$2">
            <a:extLst>
              <a:ext uri="{FF2B5EF4-FFF2-40B4-BE49-F238E27FC236}">
                <a16:creationId xmlns:a16="http://schemas.microsoft.com/office/drawing/2014/main" id="{DFFC2C10-8BB7-43CB-A79A-C175FEC06B05}"/>
              </a:ext>
            </a:extLst>
          </xdr:cNvPr>
          <xdr:cNvSpPr/>
        </xdr:nvSpPr>
        <xdr:spPr>
          <a:xfrm>
            <a:off x="495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7" name="$B$2">
            <a:extLst>
              <a:ext uri="{FF2B5EF4-FFF2-40B4-BE49-F238E27FC236}">
                <a16:creationId xmlns:a16="http://schemas.microsoft.com/office/drawing/2014/main" id="{E50FA630-189E-4E6D-AB64-07FD6C846E03}"/>
              </a:ext>
            </a:extLst>
          </xdr:cNvPr>
          <xdr:cNvSpPr/>
        </xdr:nvSpPr>
        <xdr:spPr>
          <a:xfrm>
            <a:off x="520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8" name="$B$2">
            <a:extLst>
              <a:ext uri="{FF2B5EF4-FFF2-40B4-BE49-F238E27FC236}">
                <a16:creationId xmlns:a16="http://schemas.microsoft.com/office/drawing/2014/main" id="{2461FE38-29EC-429D-AD48-407E218CF428}"/>
              </a:ext>
            </a:extLst>
          </xdr:cNvPr>
          <xdr:cNvSpPr/>
        </xdr:nvSpPr>
        <xdr:spPr>
          <a:xfrm>
            <a:off x="533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9" name="$B$2">
            <a:extLst>
              <a:ext uri="{FF2B5EF4-FFF2-40B4-BE49-F238E27FC236}">
                <a16:creationId xmlns:a16="http://schemas.microsoft.com/office/drawing/2014/main" id="{68F9EDDB-97A7-4F89-9CB0-2F0492089DAC}"/>
              </a:ext>
            </a:extLst>
          </xdr:cNvPr>
          <xdr:cNvSpPr/>
        </xdr:nvSpPr>
        <xdr:spPr>
          <a:xfrm>
            <a:off x="584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0" name="$B$2">
            <a:extLst>
              <a:ext uri="{FF2B5EF4-FFF2-40B4-BE49-F238E27FC236}">
                <a16:creationId xmlns:a16="http://schemas.microsoft.com/office/drawing/2014/main" id="{CDF56067-D1C0-4B6D-AD5C-FF456DAD92B6}"/>
              </a:ext>
            </a:extLst>
          </xdr:cNvPr>
          <xdr:cNvSpPr/>
        </xdr:nvSpPr>
        <xdr:spPr>
          <a:xfrm>
            <a:off x="596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1" name="$B$2">
            <a:extLst>
              <a:ext uri="{FF2B5EF4-FFF2-40B4-BE49-F238E27FC236}">
                <a16:creationId xmlns:a16="http://schemas.microsoft.com/office/drawing/2014/main" id="{305A66AA-3CC5-4D6E-8DE5-BB898F7D2FAB}"/>
              </a:ext>
            </a:extLst>
          </xdr:cNvPr>
          <xdr:cNvSpPr/>
        </xdr:nvSpPr>
        <xdr:spPr>
          <a:xfrm>
            <a:off x="622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2" name="$B$2">
            <a:extLst>
              <a:ext uri="{FF2B5EF4-FFF2-40B4-BE49-F238E27FC236}">
                <a16:creationId xmlns:a16="http://schemas.microsoft.com/office/drawing/2014/main" id="{26D3A917-4810-4485-B2AF-9FEDAED2B852}"/>
              </a:ext>
            </a:extLst>
          </xdr:cNvPr>
          <xdr:cNvSpPr/>
        </xdr:nvSpPr>
        <xdr:spPr>
          <a:xfrm>
            <a:off x="635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3" name="$B$2">
            <a:extLst>
              <a:ext uri="{FF2B5EF4-FFF2-40B4-BE49-F238E27FC236}">
                <a16:creationId xmlns:a16="http://schemas.microsoft.com/office/drawing/2014/main" id="{597AA1E0-4EC0-4A05-89FE-CE85D0222FC9}"/>
              </a:ext>
            </a:extLst>
          </xdr:cNvPr>
          <xdr:cNvSpPr/>
        </xdr:nvSpPr>
        <xdr:spPr>
          <a:xfrm>
            <a:off x="660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4" name="$B$2">
            <a:extLst>
              <a:ext uri="{FF2B5EF4-FFF2-40B4-BE49-F238E27FC236}">
                <a16:creationId xmlns:a16="http://schemas.microsoft.com/office/drawing/2014/main" id="{2B5FC248-0696-4BB6-950F-0440A9A104D9}"/>
              </a:ext>
            </a:extLst>
          </xdr:cNvPr>
          <xdr:cNvSpPr/>
        </xdr:nvSpPr>
        <xdr:spPr>
          <a:xfrm>
            <a:off x="6731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5" name="$B$2">
            <a:extLst>
              <a:ext uri="{FF2B5EF4-FFF2-40B4-BE49-F238E27FC236}">
                <a16:creationId xmlns:a16="http://schemas.microsoft.com/office/drawing/2014/main" id="{CEF8530E-AFE4-4648-9D19-C249CDCB54D3}"/>
              </a:ext>
            </a:extLst>
          </xdr:cNvPr>
          <xdr:cNvSpPr/>
        </xdr:nvSpPr>
        <xdr:spPr>
          <a:xfrm>
            <a:off x="698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6" name="$B$2">
            <a:extLst>
              <a:ext uri="{FF2B5EF4-FFF2-40B4-BE49-F238E27FC236}">
                <a16:creationId xmlns:a16="http://schemas.microsoft.com/office/drawing/2014/main" id="{B0109CD8-4330-4B83-928F-FECD492559C9}"/>
              </a:ext>
            </a:extLst>
          </xdr:cNvPr>
          <xdr:cNvSpPr/>
        </xdr:nvSpPr>
        <xdr:spPr>
          <a:xfrm>
            <a:off x="723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7" name="$B$2">
            <a:extLst>
              <a:ext uri="{FF2B5EF4-FFF2-40B4-BE49-F238E27FC236}">
                <a16:creationId xmlns:a16="http://schemas.microsoft.com/office/drawing/2014/main" id="{3F1C4E6F-7E41-4147-A4F4-9A4687ABC3FA}"/>
              </a:ext>
            </a:extLst>
          </xdr:cNvPr>
          <xdr:cNvSpPr/>
        </xdr:nvSpPr>
        <xdr:spPr>
          <a:xfrm>
            <a:off x="7366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8" name="$B$2">
            <a:extLst>
              <a:ext uri="{FF2B5EF4-FFF2-40B4-BE49-F238E27FC236}">
                <a16:creationId xmlns:a16="http://schemas.microsoft.com/office/drawing/2014/main" id="{478F817B-A837-4DCA-AB2C-3D210F49F707}"/>
              </a:ext>
            </a:extLst>
          </xdr:cNvPr>
          <xdr:cNvSpPr/>
        </xdr:nvSpPr>
        <xdr:spPr>
          <a:xfrm>
            <a:off x="749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9" name="$B$2">
            <a:extLst>
              <a:ext uri="{FF2B5EF4-FFF2-40B4-BE49-F238E27FC236}">
                <a16:creationId xmlns:a16="http://schemas.microsoft.com/office/drawing/2014/main" id="{7F6D1042-7A72-44C1-AFA6-BB9D3CD33E0C}"/>
              </a:ext>
            </a:extLst>
          </xdr:cNvPr>
          <xdr:cNvSpPr/>
        </xdr:nvSpPr>
        <xdr:spPr>
          <a:xfrm>
            <a:off x="762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0" name="$B$2">
            <a:extLst>
              <a:ext uri="{FF2B5EF4-FFF2-40B4-BE49-F238E27FC236}">
                <a16:creationId xmlns:a16="http://schemas.microsoft.com/office/drawing/2014/main" id="{FCA02C3F-D2F4-4C2E-8F60-8189C64A4CF8}"/>
              </a:ext>
            </a:extLst>
          </xdr:cNvPr>
          <xdr:cNvSpPr/>
        </xdr:nvSpPr>
        <xdr:spPr>
          <a:xfrm>
            <a:off x="774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1" name="$B$2">
            <a:extLst>
              <a:ext uri="{FF2B5EF4-FFF2-40B4-BE49-F238E27FC236}">
                <a16:creationId xmlns:a16="http://schemas.microsoft.com/office/drawing/2014/main" id="{7507D3F2-4D8E-400A-A473-3E69E1154C02}"/>
              </a:ext>
            </a:extLst>
          </xdr:cNvPr>
          <xdr:cNvSpPr/>
        </xdr:nvSpPr>
        <xdr:spPr>
          <a:xfrm>
            <a:off x="787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2" name="$B$2">
            <a:extLst>
              <a:ext uri="{FF2B5EF4-FFF2-40B4-BE49-F238E27FC236}">
                <a16:creationId xmlns:a16="http://schemas.microsoft.com/office/drawing/2014/main" id="{9D7C970B-2D67-40EB-9B04-FB5DC60BF55B}"/>
              </a:ext>
            </a:extLst>
          </xdr:cNvPr>
          <xdr:cNvSpPr/>
        </xdr:nvSpPr>
        <xdr:spPr>
          <a:xfrm>
            <a:off x="812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3" name="$B$2">
            <a:extLst>
              <a:ext uri="{FF2B5EF4-FFF2-40B4-BE49-F238E27FC236}">
                <a16:creationId xmlns:a16="http://schemas.microsoft.com/office/drawing/2014/main" id="{E43E9132-B01F-4B7E-BC0B-1604737EA51F}"/>
              </a:ext>
            </a:extLst>
          </xdr:cNvPr>
          <xdr:cNvSpPr/>
        </xdr:nvSpPr>
        <xdr:spPr>
          <a:xfrm>
            <a:off x="825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4" name="$B$2">
            <a:extLst>
              <a:ext uri="{FF2B5EF4-FFF2-40B4-BE49-F238E27FC236}">
                <a16:creationId xmlns:a16="http://schemas.microsoft.com/office/drawing/2014/main" id="{295B3ACC-3C9B-4B2A-A0DC-F771496B36D0}"/>
              </a:ext>
            </a:extLst>
          </xdr:cNvPr>
          <xdr:cNvSpPr/>
        </xdr:nvSpPr>
        <xdr:spPr>
          <a:xfrm>
            <a:off x="838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5" name="$B$2">
            <a:extLst>
              <a:ext uri="{FF2B5EF4-FFF2-40B4-BE49-F238E27FC236}">
                <a16:creationId xmlns:a16="http://schemas.microsoft.com/office/drawing/2014/main" id="{8117109C-FCE0-4D12-B2F7-EEDE9B863AC3}"/>
              </a:ext>
            </a:extLst>
          </xdr:cNvPr>
          <xdr:cNvSpPr/>
        </xdr:nvSpPr>
        <xdr:spPr>
          <a:xfrm>
            <a:off x="850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6" name="$B$2">
            <a:extLst>
              <a:ext uri="{FF2B5EF4-FFF2-40B4-BE49-F238E27FC236}">
                <a16:creationId xmlns:a16="http://schemas.microsoft.com/office/drawing/2014/main" id="{EA1C4A01-47F9-4D32-A8C8-5BA871A7D6B6}"/>
              </a:ext>
            </a:extLst>
          </xdr:cNvPr>
          <xdr:cNvSpPr/>
        </xdr:nvSpPr>
        <xdr:spPr>
          <a:xfrm>
            <a:off x="876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7" name="$B$2">
            <a:extLst>
              <a:ext uri="{FF2B5EF4-FFF2-40B4-BE49-F238E27FC236}">
                <a16:creationId xmlns:a16="http://schemas.microsoft.com/office/drawing/2014/main" id="{FA653031-6D40-43B7-BDCB-7CE925145E6C}"/>
              </a:ext>
            </a:extLst>
          </xdr:cNvPr>
          <xdr:cNvSpPr/>
        </xdr:nvSpPr>
        <xdr:spPr>
          <a:xfrm>
            <a:off x="889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8" name="$B$2">
            <a:extLst>
              <a:ext uri="{FF2B5EF4-FFF2-40B4-BE49-F238E27FC236}">
                <a16:creationId xmlns:a16="http://schemas.microsoft.com/office/drawing/2014/main" id="{C406ADAA-DCB5-4C47-B3F5-E05AD2B9D7D0}"/>
              </a:ext>
            </a:extLst>
          </xdr:cNvPr>
          <xdr:cNvSpPr/>
        </xdr:nvSpPr>
        <xdr:spPr>
          <a:xfrm>
            <a:off x="901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9" name="$B$2">
            <a:extLst>
              <a:ext uri="{FF2B5EF4-FFF2-40B4-BE49-F238E27FC236}">
                <a16:creationId xmlns:a16="http://schemas.microsoft.com/office/drawing/2014/main" id="{FDEEF760-6ADF-4B3E-85B8-C5402472B478}"/>
              </a:ext>
            </a:extLst>
          </xdr:cNvPr>
          <xdr:cNvSpPr/>
        </xdr:nvSpPr>
        <xdr:spPr>
          <a:xfrm>
            <a:off x="914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0" name="$B$2">
            <a:extLst>
              <a:ext uri="{FF2B5EF4-FFF2-40B4-BE49-F238E27FC236}">
                <a16:creationId xmlns:a16="http://schemas.microsoft.com/office/drawing/2014/main" id="{60F7C155-5D16-4D97-A3A6-EB98BE71A031}"/>
              </a:ext>
            </a:extLst>
          </xdr:cNvPr>
          <xdr:cNvSpPr/>
        </xdr:nvSpPr>
        <xdr:spPr>
          <a:xfrm>
            <a:off x="9271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1" name="$B$2">
            <a:extLst>
              <a:ext uri="{FF2B5EF4-FFF2-40B4-BE49-F238E27FC236}">
                <a16:creationId xmlns:a16="http://schemas.microsoft.com/office/drawing/2014/main" id="{145247E2-267E-45F5-B280-2FBFBC7E7CA3}"/>
              </a:ext>
            </a:extLst>
          </xdr:cNvPr>
          <xdr:cNvSpPr/>
        </xdr:nvSpPr>
        <xdr:spPr>
          <a:xfrm>
            <a:off x="939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2" name="$B$2">
            <a:extLst>
              <a:ext uri="{FF2B5EF4-FFF2-40B4-BE49-F238E27FC236}">
                <a16:creationId xmlns:a16="http://schemas.microsoft.com/office/drawing/2014/main" id="{22AF35D0-CD4C-4EE0-837B-E76A83BE6087}"/>
              </a:ext>
            </a:extLst>
          </xdr:cNvPr>
          <xdr:cNvSpPr/>
        </xdr:nvSpPr>
        <xdr:spPr>
          <a:xfrm>
            <a:off x="952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3" name="$B$2">
            <a:extLst>
              <a:ext uri="{FF2B5EF4-FFF2-40B4-BE49-F238E27FC236}">
                <a16:creationId xmlns:a16="http://schemas.microsoft.com/office/drawing/2014/main" id="{595299A0-56A4-4944-930D-7E923834DE62}"/>
              </a:ext>
            </a:extLst>
          </xdr:cNvPr>
          <xdr:cNvSpPr/>
        </xdr:nvSpPr>
        <xdr:spPr>
          <a:xfrm>
            <a:off x="977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4" name="$B$2">
            <a:extLst>
              <a:ext uri="{FF2B5EF4-FFF2-40B4-BE49-F238E27FC236}">
                <a16:creationId xmlns:a16="http://schemas.microsoft.com/office/drawing/2014/main" id="{FF0E3594-304B-4717-A37E-FB469BE7FC68}"/>
              </a:ext>
            </a:extLst>
          </xdr:cNvPr>
          <xdr:cNvSpPr/>
        </xdr:nvSpPr>
        <xdr:spPr>
          <a:xfrm>
            <a:off x="1028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5" name="$B$2">
            <a:extLst>
              <a:ext uri="{FF2B5EF4-FFF2-40B4-BE49-F238E27FC236}">
                <a16:creationId xmlns:a16="http://schemas.microsoft.com/office/drawing/2014/main" id="{AAB91B7F-3928-4C73-B19D-7912504ABFF4}"/>
              </a:ext>
            </a:extLst>
          </xdr:cNvPr>
          <xdr:cNvSpPr/>
        </xdr:nvSpPr>
        <xdr:spPr>
          <a:xfrm>
            <a:off x="10541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6" name="$B$2">
            <a:extLst>
              <a:ext uri="{FF2B5EF4-FFF2-40B4-BE49-F238E27FC236}">
                <a16:creationId xmlns:a16="http://schemas.microsoft.com/office/drawing/2014/main" id="{6433D950-21E2-4879-ADF2-1919C9ED53FF}"/>
              </a:ext>
            </a:extLst>
          </xdr:cNvPr>
          <xdr:cNvSpPr/>
        </xdr:nvSpPr>
        <xdr:spPr>
          <a:xfrm>
            <a:off x="1092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7" name="$B$2">
            <a:extLst>
              <a:ext uri="{FF2B5EF4-FFF2-40B4-BE49-F238E27FC236}">
                <a16:creationId xmlns:a16="http://schemas.microsoft.com/office/drawing/2014/main" id="{32E1DDAC-5BDC-488C-A223-71919612A405}"/>
              </a:ext>
            </a:extLst>
          </xdr:cNvPr>
          <xdr:cNvSpPr/>
        </xdr:nvSpPr>
        <xdr:spPr>
          <a:xfrm>
            <a:off x="127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8" name="$B$2">
            <a:extLst>
              <a:ext uri="{FF2B5EF4-FFF2-40B4-BE49-F238E27FC236}">
                <a16:creationId xmlns:a16="http://schemas.microsoft.com/office/drawing/2014/main" id="{45142877-1682-4A60-8B7E-A552090DF3D9}"/>
              </a:ext>
            </a:extLst>
          </xdr:cNvPr>
          <xdr:cNvSpPr/>
        </xdr:nvSpPr>
        <xdr:spPr>
          <a:xfrm>
            <a:off x="25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9" name="$B$2">
            <a:extLst>
              <a:ext uri="{FF2B5EF4-FFF2-40B4-BE49-F238E27FC236}">
                <a16:creationId xmlns:a16="http://schemas.microsoft.com/office/drawing/2014/main" id="{7CD6B4BB-52A7-444F-AD5A-F62CEA183223}"/>
              </a:ext>
            </a:extLst>
          </xdr:cNvPr>
          <xdr:cNvSpPr/>
        </xdr:nvSpPr>
        <xdr:spPr>
          <a:xfrm>
            <a:off x="38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0" name="$B$2">
            <a:extLst>
              <a:ext uri="{FF2B5EF4-FFF2-40B4-BE49-F238E27FC236}">
                <a16:creationId xmlns:a16="http://schemas.microsoft.com/office/drawing/2014/main" id="{03093265-9C7B-4B6C-BFE2-9CD9795A81B3}"/>
              </a:ext>
            </a:extLst>
          </xdr:cNvPr>
          <xdr:cNvSpPr/>
        </xdr:nvSpPr>
        <xdr:spPr>
          <a:xfrm>
            <a:off x="50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1" name="$B$2">
            <a:extLst>
              <a:ext uri="{FF2B5EF4-FFF2-40B4-BE49-F238E27FC236}">
                <a16:creationId xmlns:a16="http://schemas.microsoft.com/office/drawing/2014/main" id="{F7D6CF62-C13E-4FCF-B68E-8CD0AF7B14C5}"/>
              </a:ext>
            </a:extLst>
          </xdr:cNvPr>
          <xdr:cNvSpPr/>
        </xdr:nvSpPr>
        <xdr:spPr>
          <a:xfrm>
            <a:off x="63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2" name="$B$2">
            <a:extLst>
              <a:ext uri="{FF2B5EF4-FFF2-40B4-BE49-F238E27FC236}">
                <a16:creationId xmlns:a16="http://schemas.microsoft.com/office/drawing/2014/main" id="{4EA4ADA3-4065-4138-97D2-58E5F1CA6E81}"/>
              </a:ext>
            </a:extLst>
          </xdr:cNvPr>
          <xdr:cNvSpPr/>
        </xdr:nvSpPr>
        <xdr:spPr>
          <a:xfrm>
            <a:off x="76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3" name="$B$2">
            <a:extLst>
              <a:ext uri="{FF2B5EF4-FFF2-40B4-BE49-F238E27FC236}">
                <a16:creationId xmlns:a16="http://schemas.microsoft.com/office/drawing/2014/main" id="{8F66FDF8-C12B-42DC-BB2D-596E7EB5AC65}"/>
              </a:ext>
            </a:extLst>
          </xdr:cNvPr>
          <xdr:cNvSpPr/>
        </xdr:nvSpPr>
        <xdr:spPr>
          <a:xfrm>
            <a:off x="88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4" name="$B$2">
            <a:extLst>
              <a:ext uri="{FF2B5EF4-FFF2-40B4-BE49-F238E27FC236}">
                <a16:creationId xmlns:a16="http://schemas.microsoft.com/office/drawing/2014/main" id="{B747E44D-D258-4570-A4D3-0497B3C7C135}"/>
              </a:ext>
            </a:extLst>
          </xdr:cNvPr>
          <xdr:cNvSpPr/>
        </xdr:nvSpPr>
        <xdr:spPr>
          <a:xfrm>
            <a:off x="1016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5" name="$B$2">
            <a:extLst>
              <a:ext uri="{FF2B5EF4-FFF2-40B4-BE49-F238E27FC236}">
                <a16:creationId xmlns:a16="http://schemas.microsoft.com/office/drawing/2014/main" id="{56BB6CCE-B3C3-4F50-8927-CC6516C49C51}"/>
              </a:ext>
            </a:extLst>
          </xdr:cNvPr>
          <xdr:cNvSpPr/>
        </xdr:nvSpPr>
        <xdr:spPr>
          <a:xfrm>
            <a:off x="127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6" name="$B$2">
            <a:extLst>
              <a:ext uri="{FF2B5EF4-FFF2-40B4-BE49-F238E27FC236}">
                <a16:creationId xmlns:a16="http://schemas.microsoft.com/office/drawing/2014/main" id="{29FB6809-4134-4777-84A6-72E109D43785}"/>
              </a:ext>
            </a:extLst>
          </xdr:cNvPr>
          <xdr:cNvSpPr/>
        </xdr:nvSpPr>
        <xdr:spPr>
          <a:xfrm>
            <a:off x="152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7" name="$B$2">
            <a:extLst>
              <a:ext uri="{FF2B5EF4-FFF2-40B4-BE49-F238E27FC236}">
                <a16:creationId xmlns:a16="http://schemas.microsoft.com/office/drawing/2014/main" id="{20CA7AD6-4AC2-41F2-B930-68614395B494}"/>
              </a:ext>
            </a:extLst>
          </xdr:cNvPr>
          <xdr:cNvSpPr/>
        </xdr:nvSpPr>
        <xdr:spPr>
          <a:xfrm>
            <a:off x="177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8" name="$B$2">
            <a:extLst>
              <a:ext uri="{FF2B5EF4-FFF2-40B4-BE49-F238E27FC236}">
                <a16:creationId xmlns:a16="http://schemas.microsoft.com/office/drawing/2014/main" id="{10225C28-47D5-4B31-BABD-BA20BDA55C49}"/>
              </a:ext>
            </a:extLst>
          </xdr:cNvPr>
          <xdr:cNvSpPr/>
        </xdr:nvSpPr>
        <xdr:spPr>
          <a:xfrm>
            <a:off x="2286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9" name="$B$2">
            <a:extLst>
              <a:ext uri="{FF2B5EF4-FFF2-40B4-BE49-F238E27FC236}">
                <a16:creationId xmlns:a16="http://schemas.microsoft.com/office/drawing/2014/main" id="{55A125F7-A17F-46F9-B9F1-45ED2F89F4C1}"/>
              </a:ext>
            </a:extLst>
          </xdr:cNvPr>
          <xdr:cNvSpPr/>
        </xdr:nvSpPr>
        <xdr:spPr>
          <a:xfrm>
            <a:off x="254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0" name="$B$2">
            <a:extLst>
              <a:ext uri="{FF2B5EF4-FFF2-40B4-BE49-F238E27FC236}">
                <a16:creationId xmlns:a16="http://schemas.microsoft.com/office/drawing/2014/main" id="{D9482A3D-F3F9-43C4-93D5-35724DD9D258}"/>
              </a:ext>
            </a:extLst>
          </xdr:cNvPr>
          <xdr:cNvSpPr/>
        </xdr:nvSpPr>
        <xdr:spPr>
          <a:xfrm>
            <a:off x="292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1" name="$B$2">
            <a:extLst>
              <a:ext uri="{FF2B5EF4-FFF2-40B4-BE49-F238E27FC236}">
                <a16:creationId xmlns:a16="http://schemas.microsoft.com/office/drawing/2014/main" id="{2F2FE332-55A2-4CE1-B7B6-966944F6DA2E}"/>
              </a:ext>
            </a:extLst>
          </xdr:cNvPr>
          <xdr:cNvSpPr/>
        </xdr:nvSpPr>
        <xdr:spPr>
          <a:xfrm>
            <a:off x="304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2" name="$B$2">
            <a:extLst>
              <a:ext uri="{FF2B5EF4-FFF2-40B4-BE49-F238E27FC236}">
                <a16:creationId xmlns:a16="http://schemas.microsoft.com/office/drawing/2014/main" id="{0A1C9359-A72C-4D70-B220-80371348FCA3}"/>
              </a:ext>
            </a:extLst>
          </xdr:cNvPr>
          <xdr:cNvSpPr/>
        </xdr:nvSpPr>
        <xdr:spPr>
          <a:xfrm>
            <a:off x="330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3" name="$B$2">
            <a:extLst>
              <a:ext uri="{FF2B5EF4-FFF2-40B4-BE49-F238E27FC236}">
                <a16:creationId xmlns:a16="http://schemas.microsoft.com/office/drawing/2014/main" id="{E4FBCE23-E5CB-480B-AEEE-940906C448AD}"/>
              </a:ext>
            </a:extLst>
          </xdr:cNvPr>
          <xdr:cNvSpPr/>
        </xdr:nvSpPr>
        <xdr:spPr>
          <a:xfrm>
            <a:off x="342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4" name="$B$2">
            <a:extLst>
              <a:ext uri="{FF2B5EF4-FFF2-40B4-BE49-F238E27FC236}">
                <a16:creationId xmlns:a16="http://schemas.microsoft.com/office/drawing/2014/main" id="{83F011C3-F052-4D3C-BF60-809593B7C28D}"/>
              </a:ext>
            </a:extLst>
          </xdr:cNvPr>
          <xdr:cNvSpPr/>
        </xdr:nvSpPr>
        <xdr:spPr>
          <a:xfrm>
            <a:off x="3556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5" name="$B$2">
            <a:extLst>
              <a:ext uri="{FF2B5EF4-FFF2-40B4-BE49-F238E27FC236}">
                <a16:creationId xmlns:a16="http://schemas.microsoft.com/office/drawing/2014/main" id="{76CA16BA-67BA-466B-9F09-3D8D41A7D5AB}"/>
              </a:ext>
            </a:extLst>
          </xdr:cNvPr>
          <xdr:cNvSpPr/>
        </xdr:nvSpPr>
        <xdr:spPr>
          <a:xfrm>
            <a:off x="3683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6" name="$B$2">
            <a:extLst>
              <a:ext uri="{FF2B5EF4-FFF2-40B4-BE49-F238E27FC236}">
                <a16:creationId xmlns:a16="http://schemas.microsoft.com/office/drawing/2014/main" id="{5C787682-F940-4319-8D21-CB33B9EF14DE}"/>
              </a:ext>
            </a:extLst>
          </xdr:cNvPr>
          <xdr:cNvSpPr/>
        </xdr:nvSpPr>
        <xdr:spPr>
          <a:xfrm>
            <a:off x="381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7" name="$B$2">
            <a:extLst>
              <a:ext uri="{FF2B5EF4-FFF2-40B4-BE49-F238E27FC236}">
                <a16:creationId xmlns:a16="http://schemas.microsoft.com/office/drawing/2014/main" id="{C3938FD8-3B0E-466E-9E78-A0DB8122858A}"/>
              </a:ext>
            </a:extLst>
          </xdr:cNvPr>
          <xdr:cNvSpPr/>
        </xdr:nvSpPr>
        <xdr:spPr>
          <a:xfrm>
            <a:off x="444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8" name="$B$2">
            <a:extLst>
              <a:ext uri="{FF2B5EF4-FFF2-40B4-BE49-F238E27FC236}">
                <a16:creationId xmlns:a16="http://schemas.microsoft.com/office/drawing/2014/main" id="{22565D2A-E065-45C4-A7D7-5DEC2840AD90}"/>
              </a:ext>
            </a:extLst>
          </xdr:cNvPr>
          <xdr:cNvSpPr/>
        </xdr:nvSpPr>
        <xdr:spPr>
          <a:xfrm>
            <a:off x="457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9" name="$B$2">
            <a:extLst>
              <a:ext uri="{FF2B5EF4-FFF2-40B4-BE49-F238E27FC236}">
                <a16:creationId xmlns:a16="http://schemas.microsoft.com/office/drawing/2014/main" id="{52D3F41E-0485-4355-873D-D341D9594F59}"/>
              </a:ext>
            </a:extLst>
          </xdr:cNvPr>
          <xdr:cNvSpPr/>
        </xdr:nvSpPr>
        <xdr:spPr>
          <a:xfrm>
            <a:off x="469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0" name="$B$2">
            <a:extLst>
              <a:ext uri="{FF2B5EF4-FFF2-40B4-BE49-F238E27FC236}">
                <a16:creationId xmlns:a16="http://schemas.microsoft.com/office/drawing/2014/main" id="{F311E20D-CE05-4FA3-BF86-DB25078E19D7}"/>
              </a:ext>
            </a:extLst>
          </xdr:cNvPr>
          <xdr:cNvSpPr/>
        </xdr:nvSpPr>
        <xdr:spPr>
          <a:xfrm>
            <a:off x="508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1" name="$B$2">
            <a:extLst>
              <a:ext uri="{FF2B5EF4-FFF2-40B4-BE49-F238E27FC236}">
                <a16:creationId xmlns:a16="http://schemas.microsoft.com/office/drawing/2014/main" id="{911C65D0-166B-4F9D-B5AB-673920B2C439}"/>
              </a:ext>
            </a:extLst>
          </xdr:cNvPr>
          <xdr:cNvSpPr/>
        </xdr:nvSpPr>
        <xdr:spPr>
          <a:xfrm>
            <a:off x="533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2" name="$B$2">
            <a:extLst>
              <a:ext uri="{FF2B5EF4-FFF2-40B4-BE49-F238E27FC236}">
                <a16:creationId xmlns:a16="http://schemas.microsoft.com/office/drawing/2014/main" id="{CF9529AF-0E54-4DFB-92C8-409C53842256}"/>
              </a:ext>
            </a:extLst>
          </xdr:cNvPr>
          <xdr:cNvSpPr/>
        </xdr:nvSpPr>
        <xdr:spPr>
          <a:xfrm>
            <a:off x="546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3" name="$B$2">
            <a:extLst>
              <a:ext uri="{FF2B5EF4-FFF2-40B4-BE49-F238E27FC236}">
                <a16:creationId xmlns:a16="http://schemas.microsoft.com/office/drawing/2014/main" id="{6E6713E9-984A-457C-957F-1350C7EC9339}"/>
              </a:ext>
            </a:extLst>
          </xdr:cNvPr>
          <xdr:cNvSpPr/>
        </xdr:nvSpPr>
        <xdr:spPr>
          <a:xfrm>
            <a:off x="558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4" name="$B$2">
            <a:extLst>
              <a:ext uri="{FF2B5EF4-FFF2-40B4-BE49-F238E27FC236}">
                <a16:creationId xmlns:a16="http://schemas.microsoft.com/office/drawing/2014/main" id="{8DA98FAA-271D-4EE5-B730-97FF3902B0E5}"/>
              </a:ext>
            </a:extLst>
          </xdr:cNvPr>
          <xdr:cNvSpPr/>
        </xdr:nvSpPr>
        <xdr:spPr>
          <a:xfrm>
            <a:off x="571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5" name="$B$2">
            <a:extLst>
              <a:ext uri="{FF2B5EF4-FFF2-40B4-BE49-F238E27FC236}">
                <a16:creationId xmlns:a16="http://schemas.microsoft.com/office/drawing/2014/main" id="{A08C654B-2A65-4102-8AC5-BF409911A1A8}"/>
              </a:ext>
            </a:extLst>
          </xdr:cNvPr>
          <xdr:cNvSpPr/>
        </xdr:nvSpPr>
        <xdr:spPr>
          <a:xfrm>
            <a:off x="584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6" name="$B$2">
            <a:extLst>
              <a:ext uri="{FF2B5EF4-FFF2-40B4-BE49-F238E27FC236}">
                <a16:creationId xmlns:a16="http://schemas.microsoft.com/office/drawing/2014/main" id="{AA055A3B-BEAE-4B16-A3BE-AC74651E6AA8}"/>
              </a:ext>
            </a:extLst>
          </xdr:cNvPr>
          <xdr:cNvSpPr/>
        </xdr:nvSpPr>
        <xdr:spPr>
          <a:xfrm>
            <a:off x="596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7" name="$B$2">
            <a:extLst>
              <a:ext uri="{FF2B5EF4-FFF2-40B4-BE49-F238E27FC236}">
                <a16:creationId xmlns:a16="http://schemas.microsoft.com/office/drawing/2014/main" id="{409785A6-82A6-45BD-B266-F2CE66D024E6}"/>
              </a:ext>
            </a:extLst>
          </xdr:cNvPr>
          <xdr:cNvSpPr/>
        </xdr:nvSpPr>
        <xdr:spPr>
          <a:xfrm>
            <a:off x="6223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8" name="$B$2">
            <a:extLst>
              <a:ext uri="{FF2B5EF4-FFF2-40B4-BE49-F238E27FC236}">
                <a16:creationId xmlns:a16="http://schemas.microsoft.com/office/drawing/2014/main" id="{D1C0F9E5-1980-4B21-84E9-28DD229DCA4C}"/>
              </a:ext>
            </a:extLst>
          </xdr:cNvPr>
          <xdr:cNvSpPr/>
        </xdr:nvSpPr>
        <xdr:spPr>
          <a:xfrm>
            <a:off x="635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9" name="$B$2">
            <a:extLst>
              <a:ext uri="{FF2B5EF4-FFF2-40B4-BE49-F238E27FC236}">
                <a16:creationId xmlns:a16="http://schemas.microsoft.com/office/drawing/2014/main" id="{A8E4D19F-F826-40E1-A791-DBF34D74DFDC}"/>
              </a:ext>
            </a:extLst>
          </xdr:cNvPr>
          <xdr:cNvSpPr/>
        </xdr:nvSpPr>
        <xdr:spPr>
          <a:xfrm>
            <a:off x="660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0" name="$B$2">
            <a:extLst>
              <a:ext uri="{FF2B5EF4-FFF2-40B4-BE49-F238E27FC236}">
                <a16:creationId xmlns:a16="http://schemas.microsoft.com/office/drawing/2014/main" id="{7308B3D7-C4D0-41DA-8438-45F3DE40A656}"/>
              </a:ext>
            </a:extLst>
          </xdr:cNvPr>
          <xdr:cNvSpPr/>
        </xdr:nvSpPr>
        <xdr:spPr>
          <a:xfrm>
            <a:off x="673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1" name="$B$2">
            <a:extLst>
              <a:ext uri="{FF2B5EF4-FFF2-40B4-BE49-F238E27FC236}">
                <a16:creationId xmlns:a16="http://schemas.microsoft.com/office/drawing/2014/main" id="{35B2D891-4E38-4F33-BF84-3D75B3F46AA7}"/>
              </a:ext>
            </a:extLst>
          </xdr:cNvPr>
          <xdr:cNvSpPr/>
        </xdr:nvSpPr>
        <xdr:spPr>
          <a:xfrm>
            <a:off x="685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2" name="$B$2">
            <a:extLst>
              <a:ext uri="{FF2B5EF4-FFF2-40B4-BE49-F238E27FC236}">
                <a16:creationId xmlns:a16="http://schemas.microsoft.com/office/drawing/2014/main" id="{7FC72D2C-0B8D-4860-B444-CAF29B60CC65}"/>
              </a:ext>
            </a:extLst>
          </xdr:cNvPr>
          <xdr:cNvSpPr/>
        </xdr:nvSpPr>
        <xdr:spPr>
          <a:xfrm>
            <a:off x="698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3" name="$B$2">
            <a:extLst>
              <a:ext uri="{FF2B5EF4-FFF2-40B4-BE49-F238E27FC236}">
                <a16:creationId xmlns:a16="http://schemas.microsoft.com/office/drawing/2014/main" id="{F5A118A6-BA8A-4755-8C4B-FAB11B3FED5F}"/>
              </a:ext>
            </a:extLst>
          </xdr:cNvPr>
          <xdr:cNvSpPr/>
        </xdr:nvSpPr>
        <xdr:spPr>
          <a:xfrm>
            <a:off x="711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4" name="$B$2">
            <a:extLst>
              <a:ext uri="{FF2B5EF4-FFF2-40B4-BE49-F238E27FC236}">
                <a16:creationId xmlns:a16="http://schemas.microsoft.com/office/drawing/2014/main" id="{539D7FE5-F0FC-4187-B86B-4F91D082EF96}"/>
              </a:ext>
            </a:extLst>
          </xdr:cNvPr>
          <xdr:cNvSpPr/>
        </xdr:nvSpPr>
        <xdr:spPr>
          <a:xfrm>
            <a:off x="7366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5" name="$B$2">
            <a:extLst>
              <a:ext uri="{FF2B5EF4-FFF2-40B4-BE49-F238E27FC236}">
                <a16:creationId xmlns:a16="http://schemas.microsoft.com/office/drawing/2014/main" id="{1FDD2DBE-AC39-4A93-9936-85F384C26F58}"/>
              </a:ext>
            </a:extLst>
          </xdr:cNvPr>
          <xdr:cNvSpPr/>
        </xdr:nvSpPr>
        <xdr:spPr>
          <a:xfrm>
            <a:off x="7747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6" name="$B$2">
            <a:extLst>
              <a:ext uri="{FF2B5EF4-FFF2-40B4-BE49-F238E27FC236}">
                <a16:creationId xmlns:a16="http://schemas.microsoft.com/office/drawing/2014/main" id="{3A118D2E-FBCB-482D-A719-4044CAE26EBC}"/>
              </a:ext>
            </a:extLst>
          </xdr:cNvPr>
          <xdr:cNvSpPr/>
        </xdr:nvSpPr>
        <xdr:spPr>
          <a:xfrm>
            <a:off x="787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7" name="$B$2">
            <a:extLst>
              <a:ext uri="{FF2B5EF4-FFF2-40B4-BE49-F238E27FC236}">
                <a16:creationId xmlns:a16="http://schemas.microsoft.com/office/drawing/2014/main" id="{E9ACCD1B-2665-44B3-A1DB-16DE961B10AF}"/>
              </a:ext>
            </a:extLst>
          </xdr:cNvPr>
          <xdr:cNvSpPr/>
        </xdr:nvSpPr>
        <xdr:spPr>
          <a:xfrm>
            <a:off x="800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8" name="$B$2">
            <a:extLst>
              <a:ext uri="{FF2B5EF4-FFF2-40B4-BE49-F238E27FC236}">
                <a16:creationId xmlns:a16="http://schemas.microsoft.com/office/drawing/2014/main" id="{04897BEC-8689-46AE-80DE-56FBEB9AD9BD}"/>
              </a:ext>
            </a:extLst>
          </xdr:cNvPr>
          <xdr:cNvSpPr/>
        </xdr:nvSpPr>
        <xdr:spPr>
          <a:xfrm>
            <a:off x="825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9" name="$B$2">
            <a:extLst>
              <a:ext uri="{FF2B5EF4-FFF2-40B4-BE49-F238E27FC236}">
                <a16:creationId xmlns:a16="http://schemas.microsoft.com/office/drawing/2014/main" id="{46E027D6-B6BF-40F3-9B78-B1C63BDE8EF9}"/>
              </a:ext>
            </a:extLst>
          </xdr:cNvPr>
          <xdr:cNvSpPr/>
        </xdr:nvSpPr>
        <xdr:spPr>
          <a:xfrm>
            <a:off x="8763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0" name="$B$2">
            <a:extLst>
              <a:ext uri="{FF2B5EF4-FFF2-40B4-BE49-F238E27FC236}">
                <a16:creationId xmlns:a16="http://schemas.microsoft.com/office/drawing/2014/main" id="{0D40FA5A-895D-46C0-8204-4DB8FB014F38}"/>
              </a:ext>
            </a:extLst>
          </xdr:cNvPr>
          <xdr:cNvSpPr/>
        </xdr:nvSpPr>
        <xdr:spPr>
          <a:xfrm>
            <a:off x="889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1" name="$B$2">
            <a:extLst>
              <a:ext uri="{FF2B5EF4-FFF2-40B4-BE49-F238E27FC236}">
                <a16:creationId xmlns:a16="http://schemas.microsoft.com/office/drawing/2014/main" id="{4B9CB669-E878-48A4-B935-5DA5890DA68C}"/>
              </a:ext>
            </a:extLst>
          </xdr:cNvPr>
          <xdr:cNvSpPr/>
        </xdr:nvSpPr>
        <xdr:spPr>
          <a:xfrm>
            <a:off x="9017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2" name="$B$2">
            <a:extLst>
              <a:ext uri="{FF2B5EF4-FFF2-40B4-BE49-F238E27FC236}">
                <a16:creationId xmlns:a16="http://schemas.microsoft.com/office/drawing/2014/main" id="{ABB958B3-7312-4064-B6EA-01601D355F93}"/>
              </a:ext>
            </a:extLst>
          </xdr:cNvPr>
          <xdr:cNvSpPr/>
        </xdr:nvSpPr>
        <xdr:spPr>
          <a:xfrm>
            <a:off x="914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3" name="$B$2">
            <a:extLst>
              <a:ext uri="{FF2B5EF4-FFF2-40B4-BE49-F238E27FC236}">
                <a16:creationId xmlns:a16="http://schemas.microsoft.com/office/drawing/2014/main" id="{E10B2C0C-5D3D-42B1-8AEE-A82599F2B673}"/>
              </a:ext>
            </a:extLst>
          </xdr:cNvPr>
          <xdr:cNvSpPr/>
        </xdr:nvSpPr>
        <xdr:spPr>
          <a:xfrm>
            <a:off x="927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4" name="$B$2">
            <a:extLst>
              <a:ext uri="{FF2B5EF4-FFF2-40B4-BE49-F238E27FC236}">
                <a16:creationId xmlns:a16="http://schemas.microsoft.com/office/drawing/2014/main" id="{66B50815-ED64-4D5B-A9B5-F97CD3FBFD5B}"/>
              </a:ext>
            </a:extLst>
          </xdr:cNvPr>
          <xdr:cNvSpPr/>
        </xdr:nvSpPr>
        <xdr:spPr>
          <a:xfrm>
            <a:off x="939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5" name="$B$2">
            <a:extLst>
              <a:ext uri="{FF2B5EF4-FFF2-40B4-BE49-F238E27FC236}">
                <a16:creationId xmlns:a16="http://schemas.microsoft.com/office/drawing/2014/main" id="{BA91E887-3B9C-42C5-B02F-66E460F135DF}"/>
              </a:ext>
            </a:extLst>
          </xdr:cNvPr>
          <xdr:cNvSpPr/>
        </xdr:nvSpPr>
        <xdr:spPr>
          <a:xfrm>
            <a:off x="952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6" name="$B$2">
            <a:extLst>
              <a:ext uri="{FF2B5EF4-FFF2-40B4-BE49-F238E27FC236}">
                <a16:creationId xmlns:a16="http://schemas.microsoft.com/office/drawing/2014/main" id="{E850CC90-B9F0-4E45-853E-999BB6A385DA}"/>
              </a:ext>
            </a:extLst>
          </xdr:cNvPr>
          <xdr:cNvSpPr/>
        </xdr:nvSpPr>
        <xdr:spPr>
          <a:xfrm>
            <a:off x="977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7" name="$B$2">
            <a:extLst>
              <a:ext uri="{FF2B5EF4-FFF2-40B4-BE49-F238E27FC236}">
                <a16:creationId xmlns:a16="http://schemas.microsoft.com/office/drawing/2014/main" id="{DF7A632C-E35F-4CA6-A050-7A042697F32F}"/>
              </a:ext>
            </a:extLst>
          </xdr:cNvPr>
          <xdr:cNvSpPr/>
        </xdr:nvSpPr>
        <xdr:spPr>
          <a:xfrm>
            <a:off x="10287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8" name="$B$2">
            <a:extLst>
              <a:ext uri="{FF2B5EF4-FFF2-40B4-BE49-F238E27FC236}">
                <a16:creationId xmlns:a16="http://schemas.microsoft.com/office/drawing/2014/main" id="{BC14091E-B927-48D9-8D3D-70B8253414FC}"/>
              </a:ext>
            </a:extLst>
          </xdr:cNvPr>
          <xdr:cNvSpPr/>
        </xdr:nvSpPr>
        <xdr:spPr>
          <a:xfrm>
            <a:off x="1054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9" name="$B$2">
            <a:extLst>
              <a:ext uri="{FF2B5EF4-FFF2-40B4-BE49-F238E27FC236}">
                <a16:creationId xmlns:a16="http://schemas.microsoft.com/office/drawing/2014/main" id="{FEB015C2-7F83-4E3F-91D7-4819AFFD5B64}"/>
              </a:ext>
            </a:extLst>
          </xdr:cNvPr>
          <xdr:cNvSpPr/>
        </xdr:nvSpPr>
        <xdr:spPr>
          <a:xfrm>
            <a:off x="1092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0" name="$B$2">
            <a:extLst>
              <a:ext uri="{FF2B5EF4-FFF2-40B4-BE49-F238E27FC236}">
                <a16:creationId xmlns:a16="http://schemas.microsoft.com/office/drawing/2014/main" id="{B825D7BE-E344-442B-AE4D-FB8A60580CDE}"/>
              </a:ext>
            </a:extLst>
          </xdr:cNvPr>
          <xdr:cNvSpPr/>
        </xdr:nvSpPr>
        <xdr:spPr>
          <a:xfrm>
            <a:off x="127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1" name="$B$2">
            <a:extLst>
              <a:ext uri="{FF2B5EF4-FFF2-40B4-BE49-F238E27FC236}">
                <a16:creationId xmlns:a16="http://schemas.microsoft.com/office/drawing/2014/main" id="{3FDFCE9C-541A-4D21-A9CB-EE6A7CBF87F6}"/>
              </a:ext>
            </a:extLst>
          </xdr:cNvPr>
          <xdr:cNvSpPr/>
        </xdr:nvSpPr>
        <xdr:spPr>
          <a:xfrm>
            <a:off x="25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2" name="$B$2">
            <a:extLst>
              <a:ext uri="{FF2B5EF4-FFF2-40B4-BE49-F238E27FC236}">
                <a16:creationId xmlns:a16="http://schemas.microsoft.com/office/drawing/2014/main" id="{E4EE1AA0-AE35-4326-9CB0-A766A301C5D4}"/>
              </a:ext>
            </a:extLst>
          </xdr:cNvPr>
          <xdr:cNvSpPr/>
        </xdr:nvSpPr>
        <xdr:spPr>
          <a:xfrm>
            <a:off x="38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3" name="$B$2">
            <a:extLst>
              <a:ext uri="{FF2B5EF4-FFF2-40B4-BE49-F238E27FC236}">
                <a16:creationId xmlns:a16="http://schemas.microsoft.com/office/drawing/2014/main" id="{7106179F-4B7E-4616-AF44-555F4B582D5A}"/>
              </a:ext>
            </a:extLst>
          </xdr:cNvPr>
          <xdr:cNvSpPr/>
        </xdr:nvSpPr>
        <xdr:spPr>
          <a:xfrm>
            <a:off x="50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4" name="$B$2">
            <a:extLst>
              <a:ext uri="{FF2B5EF4-FFF2-40B4-BE49-F238E27FC236}">
                <a16:creationId xmlns:a16="http://schemas.microsoft.com/office/drawing/2014/main" id="{5BB90C70-C0F0-4343-8718-905CF15ACB2E}"/>
              </a:ext>
            </a:extLst>
          </xdr:cNvPr>
          <xdr:cNvSpPr/>
        </xdr:nvSpPr>
        <xdr:spPr>
          <a:xfrm>
            <a:off x="635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5" name="$B$2">
            <a:extLst>
              <a:ext uri="{FF2B5EF4-FFF2-40B4-BE49-F238E27FC236}">
                <a16:creationId xmlns:a16="http://schemas.microsoft.com/office/drawing/2014/main" id="{FFC8F472-8A95-433F-A04D-E51D2A8A884C}"/>
              </a:ext>
            </a:extLst>
          </xdr:cNvPr>
          <xdr:cNvSpPr/>
        </xdr:nvSpPr>
        <xdr:spPr>
          <a:xfrm>
            <a:off x="762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6" name="$B$2">
            <a:extLst>
              <a:ext uri="{FF2B5EF4-FFF2-40B4-BE49-F238E27FC236}">
                <a16:creationId xmlns:a16="http://schemas.microsoft.com/office/drawing/2014/main" id="{342F5E68-2B97-4FCF-8A94-2DAFF51AE5CB}"/>
              </a:ext>
            </a:extLst>
          </xdr:cNvPr>
          <xdr:cNvSpPr/>
        </xdr:nvSpPr>
        <xdr:spPr>
          <a:xfrm>
            <a:off x="889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7" name="$B$2">
            <a:extLst>
              <a:ext uri="{FF2B5EF4-FFF2-40B4-BE49-F238E27FC236}">
                <a16:creationId xmlns:a16="http://schemas.microsoft.com/office/drawing/2014/main" id="{2EE40CC5-6A2C-49E4-BA30-4A23940A3F6D}"/>
              </a:ext>
            </a:extLst>
          </xdr:cNvPr>
          <xdr:cNvSpPr/>
        </xdr:nvSpPr>
        <xdr:spPr>
          <a:xfrm>
            <a:off x="101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8" name="$B$2">
            <a:extLst>
              <a:ext uri="{FF2B5EF4-FFF2-40B4-BE49-F238E27FC236}">
                <a16:creationId xmlns:a16="http://schemas.microsoft.com/office/drawing/2014/main" id="{6B2573FE-F448-48DF-8192-6BA9D2F6F3A3}"/>
              </a:ext>
            </a:extLst>
          </xdr:cNvPr>
          <xdr:cNvSpPr/>
        </xdr:nvSpPr>
        <xdr:spPr>
          <a:xfrm>
            <a:off x="1270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9" name="$B$2">
            <a:extLst>
              <a:ext uri="{FF2B5EF4-FFF2-40B4-BE49-F238E27FC236}">
                <a16:creationId xmlns:a16="http://schemas.microsoft.com/office/drawing/2014/main" id="{01DE7113-0D1F-4092-AFFE-7A09EEE0490D}"/>
              </a:ext>
            </a:extLst>
          </xdr:cNvPr>
          <xdr:cNvSpPr/>
        </xdr:nvSpPr>
        <xdr:spPr>
          <a:xfrm>
            <a:off x="152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0" name="$B$2">
            <a:extLst>
              <a:ext uri="{FF2B5EF4-FFF2-40B4-BE49-F238E27FC236}">
                <a16:creationId xmlns:a16="http://schemas.microsoft.com/office/drawing/2014/main" id="{785D59C9-F08C-4F0C-A2C9-A841FDE5A18A}"/>
              </a:ext>
            </a:extLst>
          </xdr:cNvPr>
          <xdr:cNvSpPr/>
        </xdr:nvSpPr>
        <xdr:spPr>
          <a:xfrm>
            <a:off x="177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1" name="$B$2">
            <a:extLst>
              <a:ext uri="{FF2B5EF4-FFF2-40B4-BE49-F238E27FC236}">
                <a16:creationId xmlns:a16="http://schemas.microsoft.com/office/drawing/2014/main" id="{050C50D8-E62D-410B-AEA5-C38BB5A876F1}"/>
              </a:ext>
            </a:extLst>
          </xdr:cNvPr>
          <xdr:cNvSpPr/>
        </xdr:nvSpPr>
        <xdr:spPr>
          <a:xfrm>
            <a:off x="228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2" name="$B$2">
            <a:extLst>
              <a:ext uri="{FF2B5EF4-FFF2-40B4-BE49-F238E27FC236}">
                <a16:creationId xmlns:a16="http://schemas.microsoft.com/office/drawing/2014/main" id="{5188F758-9BE3-4BD2-A465-BF0AB076960A}"/>
              </a:ext>
            </a:extLst>
          </xdr:cNvPr>
          <xdr:cNvSpPr/>
        </xdr:nvSpPr>
        <xdr:spPr>
          <a:xfrm>
            <a:off x="2540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3" name="$B$2">
            <a:extLst>
              <a:ext uri="{FF2B5EF4-FFF2-40B4-BE49-F238E27FC236}">
                <a16:creationId xmlns:a16="http://schemas.microsoft.com/office/drawing/2014/main" id="{C366D07E-53A1-4CEB-B41E-6715B47BB463}"/>
              </a:ext>
            </a:extLst>
          </xdr:cNvPr>
          <xdr:cNvSpPr/>
        </xdr:nvSpPr>
        <xdr:spPr>
          <a:xfrm>
            <a:off x="304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4" name="$B$2">
            <a:extLst>
              <a:ext uri="{FF2B5EF4-FFF2-40B4-BE49-F238E27FC236}">
                <a16:creationId xmlns:a16="http://schemas.microsoft.com/office/drawing/2014/main" id="{6358C1C8-25B8-40BA-9388-C52309B09AFD}"/>
              </a:ext>
            </a:extLst>
          </xdr:cNvPr>
          <xdr:cNvSpPr/>
        </xdr:nvSpPr>
        <xdr:spPr>
          <a:xfrm>
            <a:off x="3175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5" name="$B$2">
            <a:extLst>
              <a:ext uri="{FF2B5EF4-FFF2-40B4-BE49-F238E27FC236}">
                <a16:creationId xmlns:a16="http://schemas.microsoft.com/office/drawing/2014/main" id="{C75A0D52-4ABB-4DE0-8A83-0EF5F31A0CF8}"/>
              </a:ext>
            </a:extLst>
          </xdr:cNvPr>
          <xdr:cNvSpPr/>
        </xdr:nvSpPr>
        <xdr:spPr>
          <a:xfrm>
            <a:off x="3937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6" name="$B$2">
            <a:extLst>
              <a:ext uri="{FF2B5EF4-FFF2-40B4-BE49-F238E27FC236}">
                <a16:creationId xmlns:a16="http://schemas.microsoft.com/office/drawing/2014/main" id="{BD56EB51-EF79-4647-8BAD-D4E1DEF48CE3}"/>
              </a:ext>
            </a:extLst>
          </xdr:cNvPr>
          <xdr:cNvSpPr/>
        </xdr:nvSpPr>
        <xdr:spPr>
          <a:xfrm>
            <a:off x="406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7" name="$B$2">
            <a:extLst>
              <a:ext uri="{FF2B5EF4-FFF2-40B4-BE49-F238E27FC236}">
                <a16:creationId xmlns:a16="http://schemas.microsoft.com/office/drawing/2014/main" id="{F4B5B25A-8813-4951-AECD-0C2997530752}"/>
              </a:ext>
            </a:extLst>
          </xdr:cNvPr>
          <xdr:cNvSpPr/>
        </xdr:nvSpPr>
        <xdr:spPr>
          <a:xfrm>
            <a:off x="4445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8" name="$B$2">
            <a:extLst>
              <a:ext uri="{FF2B5EF4-FFF2-40B4-BE49-F238E27FC236}">
                <a16:creationId xmlns:a16="http://schemas.microsoft.com/office/drawing/2014/main" id="{23AC2FD9-A837-4952-AE72-C625646C35CF}"/>
              </a:ext>
            </a:extLst>
          </xdr:cNvPr>
          <xdr:cNvSpPr/>
        </xdr:nvSpPr>
        <xdr:spPr>
          <a:xfrm>
            <a:off x="482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9" name="$B$2">
            <a:extLst>
              <a:ext uri="{FF2B5EF4-FFF2-40B4-BE49-F238E27FC236}">
                <a16:creationId xmlns:a16="http://schemas.microsoft.com/office/drawing/2014/main" id="{2554A6C1-17CE-45BB-B3B6-DB7270B60349}"/>
              </a:ext>
            </a:extLst>
          </xdr:cNvPr>
          <xdr:cNvSpPr/>
        </xdr:nvSpPr>
        <xdr:spPr>
          <a:xfrm>
            <a:off x="4953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0" name="$B$2">
            <a:extLst>
              <a:ext uri="{FF2B5EF4-FFF2-40B4-BE49-F238E27FC236}">
                <a16:creationId xmlns:a16="http://schemas.microsoft.com/office/drawing/2014/main" id="{A873F63D-08E8-4132-B047-90516C7BD66C}"/>
              </a:ext>
            </a:extLst>
          </xdr:cNvPr>
          <xdr:cNvSpPr/>
        </xdr:nvSpPr>
        <xdr:spPr>
          <a:xfrm>
            <a:off x="5080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1" name="$B$2">
            <a:extLst>
              <a:ext uri="{FF2B5EF4-FFF2-40B4-BE49-F238E27FC236}">
                <a16:creationId xmlns:a16="http://schemas.microsoft.com/office/drawing/2014/main" id="{FBF75552-C9D7-443F-AF72-C46CD026F7D6}"/>
              </a:ext>
            </a:extLst>
          </xdr:cNvPr>
          <xdr:cNvSpPr/>
        </xdr:nvSpPr>
        <xdr:spPr>
          <a:xfrm>
            <a:off x="533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2" name="$B$2">
            <a:extLst>
              <a:ext uri="{FF2B5EF4-FFF2-40B4-BE49-F238E27FC236}">
                <a16:creationId xmlns:a16="http://schemas.microsoft.com/office/drawing/2014/main" id="{41F20445-A11C-4BD4-8FDD-3067C8E8100B}"/>
              </a:ext>
            </a:extLst>
          </xdr:cNvPr>
          <xdr:cNvSpPr/>
        </xdr:nvSpPr>
        <xdr:spPr>
          <a:xfrm>
            <a:off x="546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3" name="$B$2">
            <a:extLst>
              <a:ext uri="{FF2B5EF4-FFF2-40B4-BE49-F238E27FC236}">
                <a16:creationId xmlns:a16="http://schemas.microsoft.com/office/drawing/2014/main" id="{4F44EBA0-EEAD-47F3-A367-44FFD127A7AA}"/>
              </a:ext>
            </a:extLst>
          </xdr:cNvPr>
          <xdr:cNvSpPr/>
        </xdr:nvSpPr>
        <xdr:spPr>
          <a:xfrm>
            <a:off x="558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4" name="$B$2">
            <a:extLst>
              <a:ext uri="{FF2B5EF4-FFF2-40B4-BE49-F238E27FC236}">
                <a16:creationId xmlns:a16="http://schemas.microsoft.com/office/drawing/2014/main" id="{BE3998CE-0EEE-4D7F-B63C-DF382F788019}"/>
              </a:ext>
            </a:extLst>
          </xdr:cNvPr>
          <xdr:cNvSpPr/>
        </xdr:nvSpPr>
        <xdr:spPr>
          <a:xfrm>
            <a:off x="5715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5" name="$B$2">
            <a:extLst>
              <a:ext uri="{FF2B5EF4-FFF2-40B4-BE49-F238E27FC236}">
                <a16:creationId xmlns:a16="http://schemas.microsoft.com/office/drawing/2014/main" id="{338D0AB5-D225-4D5B-AB5B-81C50B9A838F}"/>
              </a:ext>
            </a:extLst>
          </xdr:cNvPr>
          <xdr:cNvSpPr/>
        </xdr:nvSpPr>
        <xdr:spPr>
          <a:xfrm>
            <a:off x="5842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6" name="$B$2">
            <a:extLst>
              <a:ext uri="{FF2B5EF4-FFF2-40B4-BE49-F238E27FC236}">
                <a16:creationId xmlns:a16="http://schemas.microsoft.com/office/drawing/2014/main" id="{E5D1F533-9885-4FED-9551-57EBDD8ECECD}"/>
              </a:ext>
            </a:extLst>
          </xdr:cNvPr>
          <xdr:cNvSpPr/>
        </xdr:nvSpPr>
        <xdr:spPr>
          <a:xfrm>
            <a:off x="609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7" name="$B$2">
            <a:extLst>
              <a:ext uri="{FF2B5EF4-FFF2-40B4-BE49-F238E27FC236}">
                <a16:creationId xmlns:a16="http://schemas.microsoft.com/office/drawing/2014/main" id="{C4322EF4-AC92-4DE1-ADAF-01919D685550}"/>
              </a:ext>
            </a:extLst>
          </xdr:cNvPr>
          <xdr:cNvSpPr/>
        </xdr:nvSpPr>
        <xdr:spPr>
          <a:xfrm>
            <a:off x="6223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8" name="$B$2">
            <a:extLst>
              <a:ext uri="{FF2B5EF4-FFF2-40B4-BE49-F238E27FC236}">
                <a16:creationId xmlns:a16="http://schemas.microsoft.com/office/drawing/2014/main" id="{D0260B76-6A61-4FAA-AF99-226AED9E7DD0}"/>
              </a:ext>
            </a:extLst>
          </xdr:cNvPr>
          <xdr:cNvSpPr/>
        </xdr:nvSpPr>
        <xdr:spPr>
          <a:xfrm>
            <a:off x="6350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9" name="$B$2">
            <a:extLst>
              <a:ext uri="{FF2B5EF4-FFF2-40B4-BE49-F238E27FC236}">
                <a16:creationId xmlns:a16="http://schemas.microsoft.com/office/drawing/2014/main" id="{E82C6E29-2913-40F8-A592-815738BA61E0}"/>
              </a:ext>
            </a:extLst>
          </xdr:cNvPr>
          <xdr:cNvSpPr/>
        </xdr:nvSpPr>
        <xdr:spPr>
          <a:xfrm>
            <a:off x="660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0" name="$B$2">
            <a:extLst>
              <a:ext uri="{FF2B5EF4-FFF2-40B4-BE49-F238E27FC236}">
                <a16:creationId xmlns:a16="http://schemas.microsoft.com/office/drawing/2014/main" id="{3B264998-39B1-46AF-A7E3-BBB739399EAD}"/>
              </a:ext>
            </a:extLst>
          </xdr:cNvPr>
          <xdr:cNvSpPr/>
        </xdr:nvSpPr>
        <xdr:spPr>
          <a:xfrm>
            <a:off x="685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1" name="$B$2">
            <a:extLst>
              <a:ext uri="{FF2B5EF4-FFF2-40B4-BE49-F238E27FC236}">
                <a16:creationId xmlns:a16="http://schemas.microsoft.com/office/drawing/2014/main" id="{9B8C6667-DECB-4DAE-9CB6-545FBDB6CB6A}"/>
              </a:ext>
            </a:extLst>
          </xdr:cNvPr>
          <xdr:cNvSpPr/>
        </xdr:nvSpPr>
        <xdr:spPr>
          <a:xfrm>
            <a:off x="736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2" name="$B$2">
            <a:extLst>
              <a:ext uri="{FF2B5EF4-FFF2-40B4-BE49-F238E27FC236}">
                <a16:creationId xmlns:a16="http://schemas.microsoft.com/office/drawing/2014/main" id="{CD1CDCFB-E6E9-4353-9A5F-0FCDDE7903DB}"/>
              </a:ext>
            </a:extLst>
          </xdr:cNvPr>
          <xdr:cNvSpPr/>
        </xdr:nvSpPr>
        <xdr:spPr>
          <a:xfrm>
            <a:off x="7493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3" name="$B$2">
            <a:extLst>
              <a:ext uri="{FF2B5EF4-FFF2-40B4-BE49-F238E27FC236}">
                <a16:creationId xmlns:a16="http://schemas.microsoft.com/office/drawing/2014/main" id="{0953F4CB-2163-4290-B500-3C512596DC60}"/>
              </a:ext>
            </a:extLst>
          </xdr:cNvPr>
          <xdr:cNvSpPr/>
        </xdr:nvSpPr>
        <xdr:spPr>
          <a:xfrm>
            <a:off x="800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4" name="$B$2">
            <a:extLst>
              <a:ext uri="{FF2B5EF4-FFF2-40B4-BE49-F238E27FC236}">
                <a16:creationId xmlns:a16="http://schemas.microsoft.com/office/drawing/2014/main" id="{31E59BED-33FB-4F7C-A8C3-A6C4C29388E7}"/>
              </a:ext>
            </a:extLst>
          </xdr:cNvPr>
          <xdr:cNvSpPr/>
        </xdr:nvSpPr>
        <xdr:spPr>
          <a:xfrm>
            <a:off x="812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5" name="$B$2">
            <a:extLst>
              <a:ext uri="{FF2B5EF4-FFF2-40B4-BE49-F238E27FC236}">
                <a16:creationId xmlns:a16="http://schemas.microsoft.com/office/drawing/2014/main" id="{BB719918-6D1F-455A-AD29-D4018117D544}"/>
              </a:ext>
            </a:extLst>
          </xdr:cNvPr>
          <xdr:cNvSpPr/>
        </xdr:nvSpPr>
        <xdr:spPr>
          <a:xfrm>
            <a:off x="8763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6" name="$B$2">
            <a:extLst>
              <a:ext uri="{FF2B5EF4-FFF2-40B4-BE49-F238E27FC236}">
                <a16:creationId xmlns:a16="http://schemas.microsoft.com/office/drawing/2014/main" id="{A5AD59A1-C82A-43B9-A0EF-87190803F67A}"/>
              </a:ext>
            </a:extLst>
          </xdr:cNvPr>
          <xdr:cNvSpPr/>
        </xdr:nvSpPr>
        <xdr:spPr>
          <a:xfrm>
            <a:off x="8890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7" name="$B$2">
            <a:extLst>
              <a:ext uri="{FF2B5EF4-FFF2-40B4-BE49-F238E27FC236}">
                <a16:creationId xmlns:a16="http://schemas.microsoft.com/office/drawing/2014/main" id="{7E3A3194-0C9D-4645-8302-7ABBAC1EE26E}"/>
              </a:ext>
            </a:extLst>
          </xdr:cNvPr>
          <xdr:cNvSpPr/>
        </xdr:nvSpPr>
        <xdr:spPr>
          <a:xfrm>
            <a:off x="9017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8" name="$B$2">
            <a:extLst>
              <a:ext uri="{FF2B5EF4-FFF2-40B4-BE49-F238E27FC236}">
                <a16:creationId xmlns:a16="http://schemas.microsoft.com/office/drawing/2014/main" id="{DDB417A6-ED44-45C0-BEC5-80F1DCC391FB}"/>
              </a:ext>
            </a:extLst>
          </xdr:cNvPr>
          <xdr:cNvSpPr/>
        </xdr:nvSpPr>
        <xdr:spPr>
          <a:xfrm>
            <a:off x="914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9" name="$B$2">
            <a:extLst>
              <a:ext uri="{FF2B5EF4-FFF2-40B4-BE49-F238E27FC236}">
                <a16:creationId xmlns:a16="http://schemas.microsoft.com/office/drawing/2014/main" id="{4369627A-3AFF-4217-8E95-AA434CE3B504}"/>
              </a:ext>
            </a:extLst>
          </xdr:cNvPr>
          <xdr:cNvSpPr/>
        </xdr:nvSpPr>
        <xdr:spPr>
          <a:xfrm>
            <a:off x="927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0" name="$B$2">
            <a:extLst>
              <a:ext uri="{FF2B5EF4-FFF2-40B4-BE49-F238E27FC236}">
                <a16:creationId xmlns:a16="http://schemas.microsoft.com/office/drawing/2014/main" id="{6A2801F7-DD94-48AC-BFCE-6ADF72E1194D}"/>
              </a:ext>
            </a:extLst>
          </xdr:cNvPr>
          <xdr:cNvSpPr/>
        </xdr:nvSpPr>
        <xdr:spPr>
          <a:xfrm>
            <a:off x="939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1" name="$B$2">
            <a:extLst>
              <a:ext uri="{FF2B5EF4-FFF2-40B4-BE49-F238E27FC236}">
                <a16:creationId xmlns:a16="http://schemas.microsoft.com/office/drawing/2014/main" id="{F2A7C960-0046-48C9-A0FC-7EBDBDDDC226}"/>
              </a:ext>
            </a:extLst>
          </xdr:cNvPr>
          <xdr:cNvSpPr/>
        </xdr:nvSpPr>
        <xdr:spPr>
          <a:xfrm>
            <a:off x="9525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2" name="$B$2">
            <a:extLst>
              <a:ext uri="{FF2B5EF4-FFF2-40B4-BE49-F238E27FC236}">
                <a16:creationId xmlns:a16="http://schemas.microsoft.com/office/drawing/2014/main" id="{FA025EDF-8EB6-4B13-BD9A-48F0D4C029C8}"/>
              </a:ext>
            </a:extLst>
          </xdr:cNvPr>
          <xdr:cNvSpPr/>
        </xdr:nvSpPr>
        <xdr:spPr>
          <a:xfrm>
            <a:off x="9779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3" name="$B$2">
            <a:extLst>
              <a:ext uri="{FF2B5EF4-FFF2-40B4-BE49-F238E27FC236}">
                <a16:creationId xmlns:a16="http://schemas.microsoft.com/office/drawing/2014/main" id="{56B2F592-0AB8-4078-B438-72EC63B6E372}"/>
              </a:ext>
            </a:extLst>
          </xdr:cNvPr>
          <xdr:cNvSpPr/>
        </xdr:nvSpPr>
        <xdr:spPr>
          <a:xfrm>
            <a:off x="10287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4" name="$B$2">
            <a:extLst>
              <a:ext uri="{FF2B5EF4-FFF2-40B4-BE49-F238E27FC236}">
                <a16:creationId xmlns:a16="http://schemas.microsoft.com/office/drawing/2014/main" id="{FCE2BFE1-EB7A-49BD-BEB7-497999E5C38E}"/>
              </a:ext>
            </a:extLst>
          </xdr:cNvPr>
          <xdr:cNvSpPr/>
        </xdr:nvSpPr>
        <xdr:spPr>
          <a:xfrm>
            <a:off x="1054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5" name="$B$2">
            <a:extLst>
              <a:ext uri="{FF2B5EF4-FFF2-40B4-BE49-F238E27FC236}">
                <a16:creationId xmlns:a16="http://schemas.microsoft.com/office/drawing/2014/main" id="{EBF1168E-1952-49F1-A456-B7DB43E23571}"/>
              </a:ext>
            </a:extLst>
          </xdr:cNvPr>
          <xdr:cNvSpPr/>
        </xdr:nvSpPr>
        <xdr:spPr>
          <a:xfrm>
            <a:off x="10922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6" name="$B$2">
            <a:extLst>
              <a:ext uri="{FF2B5EF4-FFF2-40B4-BE49-F238E27FC236}">
                <a16:creationId xmlns:a16="http://schemas.microsoft.com/office/drawing/2014/main" id="{979D043D-2734-4769-B6E5-0C5B3F477348}"/>
              </a:ext>
            </a:extLst>
          </xdr:cNvPr>
          <xdr:cNvSpPr/>
        </xdr:nvSpPr>
        <xdr:spPr>
          <a:xfrm>
            <a:off x="12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7" name="$B$2">
            <a:extLst>
              <a:ext uri="{FF2B5EF4-FFF2-40B4-BE49-F238E27FC236}">
                <a16:creationId xmlns:a16="http://schemas.microsoft.com/office/drawing/2014/main" id="{1EFD73E2-D029-43C7-9503-2D3680C44F58}"/>
              </a:ext>
            </a:extLst>
          </xdr:cNvPr>
          <xdr:cNvSpPr/>
        </xdr:nvSpPr>
        <xdr:spPr>
          <a:xfrm>
            <a:off x="25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8" name="$B$2">
            <a:extLst>
              <a:ext uri="{FF2B5EF4-FFF2-40B4-BE49-F238E27FC236}">
                <a16:creationId xmlns:a16="http://schemas.microsoft.com/office/drawing/2014/main" id="{15559782-5065-412A-8C2C-5464C74A6D34}"/>
              </a:ext>
            </a:extLst>
          </xdr:cNvPr>
          <xdr:cNvSpPr/>
        </xdr:nvSpPr>
        <xdr:spPr>
          <a:xfrm>
            <a:off x="381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9" name="$B$2">
            <a:extLst>
              <a:ext uri="{FF2B5EF4-FFF2-40B4-BE49-F238E27FC236}">
                <a16:creationId xmlns:a16="http://schemas.microsoft.com/office/drawing/2014/main" id="{7AB9DC37-4B68-4521-B9A1-982855E10A30}"/>
              </a:ext>
            </a:extLst>
          </xdr:cNvPr>
          <xdr:cNvSpPr/>
        </xdr:nvSpPr>
        <xdr:spPr>
          <a:xfrm>
            <a:off x="50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0" name="$B$2">
            <a:extLst>
              <a:ext uri="{FF2B5EF4-FFF2-40B4-BE49-F238E27FC236}">
                <a16:creationId xmlns:a16="http://schemas.microsoft.com/office/drawing/2014/main" id="{C3611613-A8A1-48B0-BFE7-D99FDB953C18}"/>
              </a:ext>
            </a:extLst>
          </xdr:cNvPr>
          <xdr:cNvSpPr/>
        </xdr:nvSpPr>
        <xdr:spPr>
          <a:xfrm>
            <a:off x="63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1" name="$B$2">
            <a:extLst>
              <a:ext uri="{FF2B5EF4-FFF2-40B4-BE49-F238E27FC236}">
                <a16:creationId xmlns:a16="http://schemas.microsoft.com/office/drawing/2014/main" id="{6DF0DD66-0C27-4971-AA86-32D823ECB61B}"/>
              </a:ext>
            </a:extLst>
          </xdr:cNvPr>
          <xdr:cNvSpPr/>
        </xdr:nvSpPr>
        <xdr:spPr>
          <a:xfrm>
            <a:off x="762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2" name="$B$2">
            <a:extLst>
              <a:ext uri="{FF2B5EF4-FFF2-40B4-BE49-F238E27FC236}">
                <a16:creationId xmlns:a16="http://schemas.microsoft.com/office/drawing/2014/main" id="{E189BB9A-9AB5-41F6-870D-65E5DB12267F}"/>
              </a:ext>
            </a:extLst>
          </xdr:cNvPr>
          <xdr:cNvSpPr/>
        </xdr:nvSpPr>
        <xdr:spPr>
          <a:xfrm>
            <a:off x="889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3" name="$B$2">
            <a:extLst>
              <a:ext uri="{FF2B5EF4-FFF2-40B4-BE49-F238E27FC236}">
                <a16:creationId xmlns:a16="http://schemas.microsoft.com/office/drawing/2014/main" id="{BB22D313-E386-4E98-A2A3-82CA716DABB7}"/>
              </a:ext>
            </a:extLst>
          </xdr:cNvPr>
          <xdr:cNvSpPr/>
        </xdr:nvSpPr>
        <xdr:spPr>
          <a:xfrm>
            <a:off x="1016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4" name="$B$2">
            <a:extLst>
              <a:ext uri="{FF2B5EF4-FFF2-40B4-BE49-F238E27FC236}">
                <a16:creationId xmlns:a16="http://schemas.microsoft.com/office/drawing/2014/main" id="{25E6B2DD-4A9A-415B-9235-5B876EA402EA}"/>
              </a:ext>
            </a:extLst>
          </xdr:cNvPr>
          <xdr:cNvSpPr/>
        </xdr:nvSpPr>
        <xdr:spPr>
          <a:xfrm>
            <a:off x="127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5" name="$B$2">
            <a:extLst>
              <a:ext uri="{FF2B5EF4-FFF2-40B4-BE49-F238E27FC236}">
                <a16:creationId xmlns:a16="http://schemas.microsoft.com/office/drawing/2014/main" id="{4CB9290F-368E-4FB8-BC3C-688632425971}"/>
              </a:ext>
            </a:extLst>
          </xdr:cNvPr>
          <xdr:cNvSpPr/>
        </xdr:nvSpPr>
        <xdr:spPr>
          <a:xfrm>
            <a:off x="152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6" name="$B$2">
            <a:extLst>
              <a:ext uri="{FF2B5EF4-FFF2-40B4-BE49-F238E27FC236}">
                <a16:creationId xmlns:a16="http://schemas.microsoft.com/office/drawing/2014/main" id="{2F7F73D3-768B-4199-9671-26F70ABEA3CD}"/>
              </a:ext>
            </a:extLst>
          </xdr:cNvPr>
          <xdr:cNvSpPr/>
        </xdr:nvSpPr>
        <xdr:spPr>
          <a:xfrm>
            <a:off x="177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7" name="$B$2">
            <a:extLst>
              <a:ext uri="{FF2B5EF4-FFF2-40B4-BE49-F238E27FC236}">
                <a16:creationId xmlns:a16="http://schemas.microsoft.com/office/drawing/2014/main" id="{B17DDCB2-0BE8-42C3-8A8C-A7A784637E85}"/>
              </a:ext>
            </a:extLst>
          </xdr:cNvPr>
          <xdr:cNvSpPr/>
        </xdr:nvSpPr>
        <xdr:spPr>
          <a:xfrm>
            <a:off x="2286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8" name="$B$2">
            <a:extLst>
              <a:ext uri="{FF2B5EF4-FFF2-40B4-BE49-F238E27FC236}">
                <a16:creationId xmlns:a16="http://schemas.microsoft.com/office/drawing/2014/main" id="{BDB5071F-6F76-4BEA-AF3C-D4702BB0C8F7}"/>
              </a:ext>
            </a:extLst>
          </xdr:cNvPr>
          <xdr:cNvSpPr/>
        </xdr:nvSpPr>
        <xdr:spPr>
          <a:xfrm>
            <a:off x="2413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9" name="$B$2">
            <a:extLst>
              <a:ext uri="{FF2B5EF4-FFF2-40B4-BE49-F238E27FC236}">
                <a16:creationId xmlns:a16="http://schemas.microsoft.com/office/drawing/2014/main" id="{18BDA971-9D66-4449-AEB7-7DA85B6BD5B3}"/>
              </a:ext>
            </a:extLst>
          </xdr:cNvPr>
          <xdr:cNvSpPr/>
        </xdr:nvSpPr>
        <xdr:spPr>
          <a:xfrm>
            <a:off x="266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0" name="$B$2">
            <a:extLst>
              <a:ext uri="{FF2B5EF4-FFF2-40B4-BE49-F238E27FC236}">
                <a16:creationId xmlns:a16="http://schemas.microsoft.com/office/drawing/2014/main" id="{20648322-4BEF-4A99-BFEE-9FE84D4EB7D6}"/>
              </a:ext>
            </a:extLst>
          </xdr:cNvPr>
          <xdr:cNvSpPr/>
        </xdr:nvSpPr>
        <xdr:spPr>
          <a:xfrm>
            <a:off x="304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1" name="$B$2">
            <a:extLst>
              <a:ext uri="{FF2B5EF4-FFF2-40B4-BE49-F238E27FC236}">
                <a16:creationId xmlns:a16="http://schemas.microsoft.com/office/drawing/2014/main" id="{1B2134ED-60D1-4590-8C7F-51BA0B0F14FF}"/>
              </a:ext>
            </a:extLst>
          </xdr:cNvPr>
          <xdr:cNvSpPr/>
        </xdr:nvSpPr>
        <xdr:spPr>
          <a:xfrm>
            <a:off x="317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2" name="$B$2">
            <a:extLst>
              <a:ext uri="{FF2B5EF4-FFF2-40B4-BE49-F238E27FC236}">
                <a16:creationId xmlns:a16="http://schemas.microsoft.com/office/drawing/2014/main" id="{4C0538A6-3370-4C0C-8BFD-9EBC780B7F8C}"/>
              </a:ext>
            </a:extLst>
          </xdr:cNvPr>
          <xdr:cNvSpPr/>
        </xdr:nvSpPr>
        <xdr:spPr>
          <a:xfrm>
            <a:off x="3302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3" name="$B$2">
            <a:extLst>
              <a:ext uri="{FF2B5EF4-FFF2-40B4-BE49-F238E27FC236}">
                <a16:creationId xmlns:a16="http://schemas.microsoft.com/office/drawing/2014/main" id="{E706D347-8FBC-4C5C-A8F2-DEA2836C1F68}"/>
              </a:ext>
            </a:extLst>
          </xdr:cNvPr>
          <xdr:cNvSpPr/>
        </xdr:nvSpPr>
        <xdr:spPr>
          <a:xfrm>
            <a:off x="393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4" name="$B$2">
            <a:extLst>
              <a:ext uri="{FF2B5EF4-FFF2-40B4-BE49-F238E27FC236}">
                <a16:creationId xmlns:a16="http://schemas.microsoft.com/office/drawing/2014/main" id="{6675ADF8-B5CA-48BC-B208-63C49A50195A}"/>
              </a:ext>
            </a:extLst>
          </xdr:cNvPr>
          <xdr:cNvSpPr/>
        </xdr:nvSpPr>
        <xdr:spPr>
          <a:xfrm>
            <a:off x="444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5" name="$B$2">
            <a:extLst>
              <a:ext uri="{FF2B5EF4-FFF2-40B4-BE49-F238E27FC236}">
                <a16:creationId xmlns:a16="http://schemas.microsoft.com/office/drawing/2014/main" id="{4B60770D-F9F8-40EA-93C2-3B008C3A3B04}"/>
              </a:ext>
            </a:extLst>
          </xdr:cNvPr>
          <xdr:cNvSpPr/>
        </xdr:nvSpPr>
        <xdr:spPr>
          <a:xfrm>
            <a:off x="4572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6" name="$B$2">
            <a:extLst>
              <a:ext uri="{FF2B5EF4-FFF2-40B4-BE49-F238E27FC236}">
                <a16:creationId xmlns:a16="http://schemas.microsoft.com/office/drawing/2014/main" id="{594CC6D2-2D5E-47CF-A278-C8052BA570E8}"/>
              </a:ext>
            </a:extLst>
          </xdr:cNvPr>
          <xdr:cNvSpPr/>
        </xdr:nvSpPr>
        <xdr:spPr>
          <a:xfrm>
            <a:off x="4699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7" name="$B$2">
            <a:extLst>
              <a:ext uri="{FF2B5EF4-FFF2-40B4-BE49-F238E27FC236}">
                <a16:creationId xmlns:a16="http://schemas.microsoft.com/office/drawing/2014/main" id="{4DA886A6-FB18-4C17-BDD7-C008FF19CBA4}"/>
              </a:ext>
            </a:extLst>
          </xdr:cNvPr>
          <xdr:cNvSpPr/>
        </xdr:nvSpPr>
        <xdr:spPr>
          <a:xfrm>
            <a:off x="4953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8" name="$B$2">
            <a:extLst>
              <a:ext uri="{FF2B5EF4-FFF2-40B4-BE49-F238E27FC236}">
                <a16:creationId xmlns:a16="http://schemas.microsoft.com/office/drawing/2014/main" id="{525009D6-D8C7-45FA-A09C-65024CE5409D}"/>
              </a:ext>
            </a:extLst>
          </xdr:cNvPr>
          <xdr:cNvSpPr/>
        </xdr:nvSpPr>
        <xdr:spPr>
          <a:xfrm>
            <a:off x="5842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9" name="$B$2">
            <a:extLst>
              <a:ext uri="{FF2B5EF4-FFF2-40B4-BE49-F238E27FC236}">
                <a16:creationId xmlns:a16="http://schemas.microsoft.com/office/drawing/2014/main" id="{FCB3AEA0-EC63-452B-9924-6FE38557BF34}"/>
              </a:ext>
            </a:extLst>
          </xdr:cNvPr>
          <xdr:cNvSpPr/>
        </xdr:nvSpPr>
        <xdr:spPr>
          <a:xfrm>
            <a:off x="5969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0" name="$B$2">
            <a:extLst>
              <a:ext uri="{FF2B5EF4-FFF2-40B4-BE49-F238E27FC236}">
                <a16:creationId xmlns:a16="http://schemas.microsoft.com/office/drawing/2014/main" id="{E41E772A-2119-4B97-AD66-7788870754BF}"/>
              </a:ext>
            </a:extLst>
          </xdr:cNvPr>
          <xdr:cNvSpPr/>
        </xdr:nvSpPr>
        <xdr:spPr>
          <a:xfrm>
            <a:off x="635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1" name="$B$2">
            <a:extLst>
              <a:ext uri="{FF2B5EF4-FFF2-40B4-BE49-F238E27FC236}">
                <a16:creationId xmlns:a16="http://schemas.microsoft.com/office/drawing/2014/main" id="{2FF12BEC-4BD5-426E-A39B-06DA15921EDC}"/>
              </a:ext>
            </a:extLst>
          </xdr:cNvPr>
          <xdr:cNvSpPr/>
        </xdr:nvSpPr>
        <xdr:spPr>
          <a:xfrm>
            <a:off x="660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2" name="$B$2">
            <a:extLst>
              <a:ext uri="{FF2B5EF4-FFF2-40B4-BE49-F238E27FC236}">
                <a16:creationId xmlns:a16="http://schemas.microsoft.com/office/drawing/2014/main" id="{C638E8F6-8EA2-4F28-8620-297FF2F30767}"/>
              </a:ext>
            </a:extLst>
          </xdr:cNvPr>
          <xdr:cNvSpPr/>
        </xdr:nvSpPr>
        <xdr:spPr>
          <a:xfrm>
            <a:off x="6731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3" name="$B$2">
            <a:extLst>
              <a:ext uri="{FF2B5EF4-FFF2-40B4-BE49-F238E27FC236}">
                <a16:creationId xmlns:a16="http://schemas.microsoft.com/office/drawing/2014/main" id="{97636520-7881-43BC-947B-303B71D5FA7D}"/>
              </a:ext>
            </a:extLst>
          </xdr:cNvPr>
          <xdr:cNvSpPr/>
        </xdr:nvSpPr>
        <xdr:spPr>
          <a:xfrm>
            <a:off x="698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4" name="$B$2">
            <a:extLst>
              <a:ext uri="{FF2B5EF4-FFF2-40B4-BE49-F238E27FC236}">
                <a16:creationId xmlns:a16="http://schemas.microsoft.com/office/drawing/2014/main" id="{34FA7327-961A-4BB3-A199-818DCA35A2D8}"/>
              </a:ext>
            </a:extLst>
          </xdr:cNvPr>
          <xdr:cNvSpPr/>
        </xdr:nvSpPr>
        <xdr:spPr>
          <a:xfrm>
            <a:off x="7366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5" name="$B$2">
            <a:extLst>
              <a:ext uri="{FF2B5EF4-FFF2-40B4-BE49-F238E27FC236}">
                <a16:creationId xmlns:a16="http://schemas.microsoft.com/office/drawing/2014/main" id="{93D4788A-9AA5-4181-8AC7-AB4E7048A6E2}"/>
              </a:ext>
            </a:extLst>
          </xdr:cNvPr>
          <xdr:cNvSpPr/>
        </xdr:nvSpPr>
        <xdr:spPr>
          <a:xfrm>
            <a:off x="7493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6" name="$B$2">
            <a:extLst>
              <a:ext uri="{FF2B5EF4-FFF2-40B4-BE49-F238E27FC236}">
                <a16:creationId xmlns:a16="http://schemas.microsoft.com/office/drawing/2014/main" id="{D94CD97E-89D5-4DA5-9EED-C773B7505130}"/>
              </a:ext>
            </a:extLst>
          </xdr:cNvPr>
          <xdr:cNvSpPr/>
        </xdr:nvSpPr>
        <xdr:spPr>
          <a:xfrm>
            <a:off x="762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7" name="$B$2">
            <a:extLst>
              <a:ext uri="{FF2B5EF4-FFF2-40B4-BE49-F238E27FC236}">
                <a16:creationId xmlns:a16="http://schemas.microsoft.com/office/drawing/2014/main" id="{FE436351-6BC1-4AAC-9840-2F7256AA0FBD}"/>
              </a:ext>
            </a:extLst>
          </xdr:cNvPr>
          <xdr:cNvSpPr/>
        </xdr:nvSpPr>
        <xdr:spPr>
          <a:xfrm>
            <a:off x="8001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8" name="$B$2">
            <a:extLst>
              <a:ext uri="{FF2B5EF4-FFF2-40B4-BE49-F238E27FC236}">
                <a16:creationId xmlns:a16="http://schemas.microsoft.com/office/drawing/2014/main" id="{6CFC5CA9-4021-419D-BF72-DA3A5FD9509D}"/>
              </a:ext>
            </a:extLst>
          </xdr:cNvPr>
          <xdr:cNvSpPr/>
        </xdr:nvSpPr>
        <xdr:spPr>
          <a:xfrm>
            <a:off x="8763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9" name="$B$2">
            <a:extLst>
              <a:ext uri="{FF2B5EF4-FFF2-40B4-BE49-F238E27FC236}">
                <a16:creationId xmlns:a16="http://schemas.microsoft.com/office/drawing/2014/main" id="{75715D01-7FE4-47F9-9A37-2C5CA78491A4}"/>
              </a:ext>
            </a:extLst>
          </xdr:cNvPr>
          <xdr:cNvSpPr/>
        </xdr:nvSpPr>
        <xdr:spPr>
          <a:xfrm>
            <a:off x="889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0" name="$B$2">
            <a:extLst>
              <a:ext uri="{FF2B5EF4-FFF2-40B4-BE49-F238E27FC236}">
                <a16:creationId xmlns:a16="http://schemas.microsoft.com/office/drawing/2014/main" id="{1F1844C6-4CCF-4F64-B968-99521B0195D3}"/>
              </a:ext>
            </a:extLst>
          </xdr:cNvPr>
          <xdr:cNvSpPr/>
        </xdr:nvSpPr>
        <xdr:spPr>
          <a:xfrm>
            <a:off x="901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1" name="$B$2">
            <a:extLst>
              <a:ext uri="{FF2B5EF4-FFF2-40B4-BE49-F238E27FC236}">
                <a16:creationId xmlns:a16="http://schemas.microsoft.com/office/drawing/2014/main" id="{BAD3FD71-BE93-4E53-AB25-3DEE883FA8E9}"/>
              </a:ext>
            </a:extLst>
          </xdr:cNvPr>
          <xdr:cNvSpPr/>
        </xdr:nvSpPr>
        <xdr:spPr>
          <a:xfrm>
            <a:off x="914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2" name="$B$2">
            <a:extLst>
              <a:ext uri="{FF2B5EF4-FFF2-40B4-BE49-F238E27FC236}">
                <a16:creationId xmlns:a16="http://schemas.microsoft.com/office/drawing/2014/main" id="{EFFC16D3-FCEE-46E1-85BC-EFCCE651E88B}"/>
              </a:ext>
            </a:extLst>
          </xdr:cNvPr>
          <xdr:cNvSpPr/>
        </xdr:nvSpPr>
        <xdr:spPr>
          <a:xfrm>
            <a:off x="9271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3" name="$B$2">
            <a:extLst>
              <a:ext uri="{FF2B5EF4-FFF2-40B4-BE49-F238E27FC236}">
                <a16:creationId xmlns:a16="http://schemas.microsoft.com/office/drawing/2014/main" id="{A7AED652-4CF6-45E0-B9E6-B46B27111662}"/>
              </a:ext>
            </a:extLst>
          </xdr:cNvPr>
          <xdr:cNvSpPr/>
        </xdr:nvSpPr>
        <xdr:spPr>
          <a:xfrm>
            <a:off x="939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4" name="$B$2">
            <a:extLst>
              <a:ext uri="{FF2B5EF4-FFF2-40B4-BE49-F238E27FC236}">
                <a16:creationId xmlns:a16="http://schemas.microsoft.com/office/drawing/2014/main" id="{2F3F5444-1CB1-4638-8960-AE01BDC2EE86}"/>
              </a:ext>
            </a:extLst>
          </xdr:cNvPr>
          <xdr:cNvSpPr/>
        </xdr:nvSpPr>
        <xdr:spPr>
          <a:xfrm>
            <a:off x="952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5" name="$B$2">
            <a:extLst>
              <a:ext uri="{FF2B5EF4-FFF2-40B4-BE49-F238E27FC236}">
                <a16:creationId xmlns:a16="http://schemas.microsoft.com/office/drawing/2014/main" id="{20CF12F2-7BA4-4BBD-9185-860C33282BC7}"/>
              </a:ext>
            </a:extLst>
          </xdr:cNvPr>
          <xdr:cNvSpPr/>
        </xdr:nvSpPr>
        <xdr:spPr>
          <a:xfrm>
            <a:off x="9779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6" name="$B$2">
            <a:extLst>
              <a:ext uri="{FF2B5EF4-FFF2-40B4-BE49-F238E27FC236}">
                <a16:creationId xmlns:a16="http://schemas.microsoft.com/office/drawing/2014/main" id="{510C7B80-AB3B-459A-8792-01245F8F1BC1}"/>
              </a:ext>
            </a:extLst>
          </xdr:cNvPr>
          <xdr:cNvSpPr/>
        </xdr:nvSpPr>
        <xdr:spPr>
          <a:xfrm>
            <a:off x="1028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7" name="$B$2">
            <a:extLst>
              <a:ext uri="{FF2B5EF4-FFF2-40B4-BE49-F238E27FC236}">
                <a16:creationId xmlns:a16="http://schemas.microsoft.com/office/drawing/2014/main" id="{937AC958-4D9C-4475-A03F-46EE48DAF687}"/>
              </a:ext>
            </a:extLst>
          </xdr:cNvPr>
          <xdr:cNvSpPr/>
        </xdr:nvSpPr>
        <xdr:spPr>
          <a:xfrm>
            <a:off x="10541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8" name="$B$2">
            <a:extLst>
              <a:ext uri="{FF2B5EF4-FFF2-40B4-BE49-F238E27FC236}">
                <a16:creationId xmlns:a16="http://schemas.microsoft.com/office/drawing/2014/main" id="{E477B921-2AEA-47EB-A500-1F4CCFEDF53D}"/>
              </a:ext>
            </a:extLst>
          </xdr:cNvPr>
          <xdr:cNvSpPr/>
        </xdr:nvSpPr>
        <xdr:spPr>
          <a:xfrm>
            <a:off x="10922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9" name="$B$2">
            <a:extLst>
              <a:ext uri="{FF2B5EF4-FFF2-40B4-BE49-F238E27FC236}">
                <a16:creationId xmlns:a16="http://schemas.microsoft.com/office/drawing/2014/main" id="{6FF02A4C-A1BD-4AD8-91A6-938DE94A813F}"/>
              </a:ext>
            </a:extLst>
          </xdr:cNvPr>
          <xdr:cNvSpPr/>
        </xdr:nvSpPr>
        <xdr:spPr>
          <a:xfrm>
            <a:off x="12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0" name="$B$2">
            <a:extLst>
              <a:ext uri="{FF2B5EF4-FFF2-40B4-BE49-F238E27FC236}">
                <a16:creationId xmlns:a16="http://schemas.microsoft.com/office/drawing/2014/main" id="{BED49A82-9452-4BE1-8943-6864E1168872}"/>
              </a:ext>
            </a:extLst>
          </xdr:cNvPr>
          <xdr:cNvSpPr/>
        </xdr:nvSpPr>
        <xdr:spPr>
          <a:xfrm>
            <a:off x="25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1" name="$B$2">
            <a:extLst>
              <a:ext uri="{FF2B5EF4-FFF2-40B4-BE49-F238E27FC236}">
                <a16:creationId xmlns:a16="http://schemas.microsoft.com/office/drawing/2014/main" id="{813CAAD8-CFCD-4A6E-99B4-D507E5BAA4B1}"/>
              </a:ext>
            </a:extLst>
          </xdr:cNvPr>
          <xdr:cNvSpPr/>
        </xdr:nvSpPr>
        <xdr:spPr>
          <a:xfrm>
            <a:off x="38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2" name="$B$2">
            <a:extLst>
              <a:ext uri="{FF2B5EF4-FFF2-40B4-BE49-F238E27FC236}">
                <a16:creationId xmlns:a16="http://schemas.microsoft.com/office/drawing/2014/main" id="{D9728AFF-9EFF-4CE9-8171-331FBB39C1B9}"/>
              </a:ext>
            </a:extLst>
          </xdr:cNvPr>
          <xdr:cNvSpPr/>
        </xdr:nvSpPr>
        <xdr:spPr>
          <a:xfrm>
            <a:off x="508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3" name="$B$2">
            <a:extLst>
              <a:ext uri="{FF2B5EF4-FFF2-40B4-BE49-F238E27FC236}">
                <a16:creationId xmlns:a16="http://schemas.microsoft.com/office/drawing/2014/main" id="{07ADF22C-E029-45E2-860C-6F0097E79E38}"/>
              </a:ext>
            </a:extLst>
          </xdr:cNvPr>
          <xdr:cNvSpPr/>
        </xdr:nvSpPr>
        <xdr:spPr>
          <a:xfrm>
            <a:off x="63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4" name="$B$2">
            <a:extLst>
              <a:ext uri="{FF2B5EF4-FFF2-40B4-BE49-F238E27FC236}">
                <a16:creationId xmlns:a16="http://schemas.microsoft.com/office/drawing/2014/main" id="{3FA284FA-1C2A-4C73-83E4-7A6297B62503}"/>
              </a:ext>
            </a:extLst>
          </xdr:cNvPr>
          <xdr:cNvSpPr/>
        </xdr:nvSpPr>
        <xdr:spPr>
          <a:xfrm>
            <a:off x="762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5" name="$B$2">
            <a:extLst>
              <a:ext uri="{FF2B5EF4-FFF2-40B4-BE49-F238E27FC236}">
                <a16:creationId xmlns:a16="http://schemas.microsoft.com/office/drawing/2014/main" id="{1471B917-3090-4427-A590-F2B923EDF64E}"/>
              </a:ext>
            </a:extLst>
          </xdr:cNvPr>
          <xdr:cNvSpPr/>
        </xdr:nvSpPr>
        <xdr:spPr>
          <a:xfrm>
            <a:off x="88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6" name="$B$2">
            <a:extLst>
              <a:ext uri="{FF2B5EF4-FFF2-40B4-BE49-F238E27FC236}">
                <a16:creationId xmlns:a16="http://schemas.microsoft.com/office/drawing/2014/main" id="{863FB163-AEFF-4632-832C-4BCA8D815869}"/>
              </a:ext>
            </a:extLst>
          </xdr:cNvPr>
          <xdr:cNvSpPr/>
        </xdr:nvSpPr>
        <xdr:spPr>
          <a:xfrm>
            <a:off x="1016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7" name="$B$2">
            <a:extLst>
              <a:ext uri="{FF2B5EF4-FFF2-40B4-BE49-F238E27FC236}">
                <a16:creationId xmlns:a16="http://schemas.microsoft.com/office/drawing/2014/main" id="{8B785818-53A6-46EC-B018-C09F612CD3A5}"/>
              </a:ext>
            </a:extLst>
          </xdr:cNvPr>
          <xdr:cNvSpPr/>
        </xdr:nvSpPr>
        <xdr:spPr>
          <a:xfrm>
            <a:off x="127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8" name="$B$2">
            <a:extLst>
              <a:ext uri="{FF2B5EF4-FFF2-40B4-BE49-F238E27FC236}">
                <a16:creationId xmlns:a16="http://schemas.microsoft.com/office/drawing/2014/main" id="{4A64AD9F-E8D7-4212-9119-999F30A47DCF}"/>
              </a:ext>
            </a:extLst>
          </xdr:cNvPr>
          <xdr:cNvSpPr/>
        </xdr:nvSpPr>
        <xdr:spPr>
          <a:xfrm>
            <a:off x="152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9" name="$B$2">
            <a:extLst>
              <a:ext uri="{FF2B5EF4-FFF2-40B4-BE49-F238E27FC236}">
                <a16:creationId xmlns:a16="http://schemas.microsoft.com/office/drawing/2014/main" id="{3B04B5F9-E6F6-499E-ACA4-2C7955F4063B}"/>
              </a:ext>
            </a:extLst>
          </xdr:cNvPr>
          <xdr:cNvSpPr/>
        </xdr:nvSpPr>
        <xdr:spPr>
          <a:xfrm>
            <a:off x="1778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0" name="$B$2">
            <a:extLst>
              <a:ext uri="{FF2B5EF4-FFF2-40B4-BE49-F238E27FC236}">
                <a16:creationId xmlns:a16="http://schemas.microsoft.com/office/drawing/2014/main" id="{4798AF12-72E0-4084-92DF-0A2B1984D3B0}"/>
              </a:ext>
            </a:extLst>
          </xdr:cNvPr>
          <xdr:cNvSpPr/>
        </xdr:nvSpPr>
        <xdr:spPr>
          <a:xfrm>
            <a:off x="2286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1" name="$B$2">
            <a:extLst>
              <a:ext uri="{FF2B5EF4-FFF2-40B4-BE49-F238E27FC236}">
                <a16:creationId xmlns:a16="http://schemas.microsoft.com/office/drawing/2014/main" id="{087D2732-DFAF-4B0C-BDFA-3CB99E8CC754}"/>
              </a:ext>
            </a:extLst>
          </xdr:cNvPr>
          <xdr:cNvSpPr/>
        </xdr:nvSpPr>
        <xdr:spPr>
          <a:xfrm>
            <a:off x="2413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2" name="$B$2">
            <a:extLst>
              <a:ext uri="{FF2B5EF4-FFF2-40B4-BE49-F238E27FC236}">
                <a16:creationId xmlns:a16="http://schemas.microsoft.com/office/drawing/2014/main" id="{B7436660-FF56-4232-8DCF-F769B47BCD79}"/>
              </a:ext>
            </a:extLst>
          </xdr:cNvPr>
          <xdr:cNvSpPr/>
        </xdr:nvSpPr>
        <xdr:spPr>
          <a:xfrm>
            <a:off x="266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3" name="$B$2">
            <a:extLst>
              <a:ext uri="{FF2B5EF4-FFF2-40B4-BE49-F238E27FC236}">
                <a16:creationId xmlns:a16="http://schemas.microsoft.com/office/drawing/2014/main" id="{1B8B86C0-B484-4C3F-81A3-30977734A39F}"/>
              </a:ext>
            </a:extLst>
          </xdr:cNvPr>
          <xdr:cNvSpPr/>
        </xdr:nvSpPr>
        <xdr:spPr>
          <a:xfrm>
            <a:off x="317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4" name="$B$2">
            <a:extLst>
              <a:ext uri="{FF2B5EF4-FFF2-40B4-BE49-F238E27FC236}">
                <a16:creationId xmlns:a16="http://schemas.microsoft.com/office/drawing/2014/main" id="{FD4957A7-A858-46DC-BBC4-F6A0FD0A9790}"/>
              </a:ext>
            </a:extLst>
          </xdr:cNvPr>
          <xdr:cNvSpPr/>
        </xdr:nvSpPr>
        <xdr:spPr>
          <a:xfrm>
            <a:off x="3556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5" name="$B$2">
            <a:extLst>
              <a:ext uri="{FF2B5EF4-FFF2-40B4-BE49-F238E27FC236}">
                <a16:creationId xmlns:a16="http://schemas.microsoft.com/office/drawing/2014/main" id="{CBAF5951-61E2-4788-AA6A-53C94B768A60}"/>
              </a:ext>
            </a:extLst>
          </xdr:cNvPr>
          <xdr:cNvSpPr/>
        </xdr:nvSpPr>
        <xdr:spPr>
          <a:xfrm>
            <a:off x="3683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6" name="$B$2">
            <a:extLst>
              <a:ext uri="{FF2B5EF4-FFF2-40B4-BE49-F238E27FC236}">
                <a16:creationId xmlns:a16="http://schemas.microsoft.com/office/drawing/2014/main" id="{03F7F879-622A-48EB-9B0F-8907120D2C0E}"/>
              </a:ext>
            </a:extLst>
          </xdr:cNvPr>
          <xdr:cNvSpPr/>
        </xdr:nvSpPr>
        <xdr:spPr>
          <a:xfrm>
            <a:off x="381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7" name="$B$2">
            <a:extLst>
              <a:ext uri="{FF2B5EF4-FFF2-40B4-BE49-F238E27FC236}">
                <a16:creationId xmlns:a16="http://schemas.microsoft.com/office/drawing/2014/main" id="{1FE98837-4499-4532-ACF9-9EBE3E24C89E}"/>
              </a:ext>
            </a:extLst>
          </xdr:cNvPr>
          <xdr:cNvSpPr/>
        </xdr:nvSpPr>
        <xdr:spPr>
          <a:xfrm>
            <a:off x="393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8" name="$B$2">
            <a:extLst>
              <a:ext uri="{FF2B5EF4-FFF2-40B4-BE49-F238E27FC236}">
                <a16:creationId xmlns:a16="http://schemas.microsoft.com/office/drawing/2014/main" id="{CF724C28-8348-4421-B34C-890373DB9150}"/>
              </a:ext>
            </a:extLst>
          </xdr:cNvPr>
          <xdr:cNvSpPr/>
        </xdr:nvSpPr>
        <xdr:spPr>
          <a:xfrm>
            <a:off x="406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9" name="$B$2">
            <a:extLst>
              <a:ext uri="{FF2B5EF4-FFF2-40B4-BE49-F238E27FC236}">
                <a16:creationId xmlns:a16="http://schemas.microsoft.com/office/drawing/2014/main" id="{829C2AB8-B0B9-46BF-8BE1-60E1FA42EC4A}"/>
              </a:ext>
            </a:extLst>
          </xdr:cNvPr>
          <xdr:cNvSpPr/>
        </xdr:nvSpPr>
        <xdr:spPr>
          <a:xfrm>
            <a:off x="444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0" name="$B$2">
            <a:extLst>
              <a:ext uri="{FF2B5EF4-FFF2-40B4-BE49-F238E27FC236}">
                <a16:creationId xmlns:a16="http://schemas.microsoft.com/office/drawing/2014/main" id="{BF8A3F2B-8D66-4CB5-9C15-661653932EB5}"/>
              </a:ext>
            </a:extLst>
          </xdr:cNvPr>
          <xdr:cNvSpPr/>
        </xdr:nvSpPr>
        <xdr:spPr>
          <a:xfrm>
            <a:off x="4572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1" name="$B$2">
            <a:extLst>
              <a:ext uri="{FF2B5EF4-FFF2-40B4-BE49-F238E27FC236}">
                <a16:creationId xmlns:a16="http://schemas.microsoft.com/office/drawing/2014/main" id="{604EC423-FBD9-4498-8078-89B437FCDE5A}"/>
              </a:ext>
            </a:extLst>
          </xdr:cNvPr>
          <xdr:cNvSpPr/>
        </xdr:nvSpPr>
        <xdr:spPr>
          <a:xfrm>
            <a:off x="469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2" name="$B$2">
            <a:extLst>
              <a:ext uri="{FF2B5EF4-FFF2-40B4-BE49-F238E27FC236}">
                <a16:creationId xmlns:a16="http://schemas.microsoft.com/office/drawing/2014/main" id="{BD9E0EB3-84E1-48A4-89A7-A7BB9919DE96}"/>
              </a:ext>
            </a:extLst>
          </xdr:cNvPr>
          <xdr:cNvSpPr/>
        </xdr:nvSpPr>
        <xdr:spPr>
          <a:xfrm>
            <a:off x="4826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3" name="$B$2">
            <a:extLst>
              <a:ext uri="{FF2B5EF4-FFF2-40B4-BE49-F238E27FC236}">
                <a16:creationId xmlns:a16="http://schemas.microsoft.com/office/drawing/2014/main" id="{6C7A6C51-4086-4506-8DDF-022843651FC3}"/>
              </a:ext>
            </a:extLst>
          </xdr:cNvPr>
          <xdr:cNvSpPr/>
        </xdr:nvSpPr>
        <xdr:spPr>
          <a:xfrm>
            <a:off x="546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4" name="$B$2">
            <a:extLst>
              <a:ext uri="{FF2B5EF4-FFF2-40B4-BE49-F238E27FC236}">
                <a16:creationId xmlns:a16="http://schemas.microsoft.com/office/drawing/2014/main" id="{2C58078C-6D7A-40DD-A2F8-F85E00FDD701}"/>
              </a:ext>
            </a:extLst>
          </xdr:cNvPr>
          <xdr:cNvSpPr/>
        </xdr:nvSpPr>
        <xdr:spPr>
          <a:xfrm>
            <a:off x="571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5" name="$B$2">
            <a:extLst>
              <a:ext uri="{FF2B5EF4-FFF2-40B4-BE49-F238E27FC236}">
                <a16:creationId xmlns:a16="http://schemas.microsoft.com/office/drawing/2014/main" id="{6A7B79A2-4FFA-4BFB-B17E-1DCC351A5C79}"/>
              </a:ext>
            </a:extLst>
          </xdr:cNvPr>
          <xdr:cNvSpPr/>
        </xdr:nvSpPr>
        <xdr:spPr>
          <a:xfrm>
            <a:off x="5842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6" name="$B$2">
            <a:extLst>
              <a:ext uri="{FF2B5EF4-FFF2-40B4-BE49-F238E27FC236}">
                <a16:creationId xmlns:a16="http://schemas.microsoft.com/office/drawing/2014/main" id="{C5169015-AA85-4679-9672-EE03A0E8BDDC}"/>
              </a:ext>
            </a:extLst>
          </xdr:cNvPr>
          <xdr:cNvSpPr/>
        </xdr:nvSpPr>
        <xdr:spPr>
          <a:xfrm>
            <a:off x="596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7" name="$B$2">
            <a:extLst>
              <a:ext uri="{FF2B5EF4-FFF2-40B4-BE49-F238E27FC236}">
                <a16:creationId xmlns:a16="http://schemas.microsoft.com/office/drawing/2014/main" id="{66A5F98B-A96D-41DD-90C6-F3323E6AB1F0}"/>
              </a:ext>
            </a:extLst>
          </xdr:cNvPr>
          <xdr:cNvSpPr/>
        </xdr:nvSpPr>
        <xdr:spPr>
          <a:xfrm>
            <a:off x="6096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8" name="$B$2">
            <a:extLst>
              <a:ext uri="{FF2B5EF4-FFF2-40B4-BE49-F238E27FC236}">
                <a16:creationId xmlns:a16="http://schemas.microsoft.com/office/drawing/2014/main" id="{4FD7788C-3A15-45E7-B4BE-EB6C3067FD61}"/>
              </a:ext>
            </a:extLst>
          </xdr:cNvPr>
          <xdr:cNvSpPr/>
        </xdr:nvSpPr>
        <xdr:spPr>
          <a:xfrm>
            <a:off x="635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9" name="$B$2">
            <a:extLst>
              <a:ext uri="{FF2B5EF4-FFF2-40B4-BE49-F238E27FC236}">
                <a16:creationId xmlns:a16="http://schemas.microsoft.com/office/drawing/2014/main" id="{60673FC6-43D2-42AC-AB3C-178BD49A99A8}"/>
              </a:ext>
            </a:extLst>
          </xdr:cNvPr>
          <xdr:cNvSpPr/>
        </xdr:nvSpPr>
        <xdr:spPr>
          <a:xfrm>
            <a:off x="660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0" name="$B$2">
            <a:extLst>
              <a:ext uri="{FF2B5EF4-FFF2-40B4-BE49-F238E27FC236}">
                <a16:creationId xmlns:a16="http://schemas.microsoft.com/office/drawing/2014/main" id="{78858314-A497-4D37-8B4C-96F5DB16D7B6}"/>
              </a:ext>
            </a:extLst>
          </xdr:cNvPr>
          <xdr:cNvSpPr/>
        </xdr:nvSpPr>
        <xdr:spPr>
          <a:xfrm>
            <a:off x="673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1" name="$B$2">
            <a:extLst>
              <a:ext uri="{FF2B5EF4-FFF2-40B4-BE49-F238E27FC236}">
                <a16:creationId xmlns:a16="http://schemas.microsoft.com/office/drawing/2014/main" id="{79AF2F62-AB5B-4487-8F53-819AEDC6B821}"/>
              </a:ext>
            </a:extLst>
          </xdr:cNvPr>
          <xdr:cNvSpPr/>
        </xdr:nvSpPr>
        <xdr:spPr>
          <a:xfrm>
            <a:off x="6858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2" name="$B$2">
            <a:extLst>
              <a:ext uri="{FF2B5EF4-FFF2-40B4-BE49-F238E27FC236}">
                <a16:creationId xmlns:a16="http://schemas.microsoft.com/office/drawing/2014/main" id="{4522E17C-D13C-4201-9DA5-5851A0507384}"/>
              </a:ext>
            </a:extLst>
          </xdr:cNvPr>
          <xdr:cNvSpPr/>
        </xdr:nvSpPr>
        <xdr:spPr>
          <a:xfrm>
            <a:off x="698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3" name="$B$2">
            <a:extLst>
              <a:ext uri="{FF2B5EF4-FFF2-40B4-BE49-F238E27FC236}">
                <a16:creationId xmlns:a16="http://schemas.microsoft.com/office/drawing/2014/main" id="{D4D73A4D-3C9A-44F4-ACD9-9E07E49F64B3}"/>
              </a:ext>
            </a:extLst>
          </xdr:cNvPr>
          <xdr:cNvSpPr/>
        </xdr:nvSpPr>
        <xdr:spPr>
          <a:xfrm>
            <a:off x="7112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4" name="$B$2">
            <a:extLst>
              <a:ext uri="{FF2B5EF4-FFF2-40B4-BE49-F238E27FC236}">
                <a16:creationId xmlns:a16="http://schemas.microsoft.com/office/drawing/2014/main" id="{EDD64BBB-FC21-46C3-A935-FC1C66A5689E}"/>
              </a:ext>
            </a:extLst>
          </xdr:cNvPr>
          <xdr:cNvSpPr/>
        </xdr:nvSpPr>
        <xdr:spPr>
          <a:xfrm>
            <a:off x="723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5" name="$B$2">
            <a:extLst>
              <a:ext uri="{FF2B5EF4-FFF2-40B4-BE49-F238E27FC236}">
                <a16:creationId xmlns:a16="http://schemas.microsoft.com/office/drawing/2014/main" id="{B0C1007D-4E93-4708-96CC-874ECD2F3272}"/>
              </a:ext>
            </a:extLst>
          </xdr:cNvPr>
          <xdr:cNvSpPr/>
        </xdr:nvSpPr>
        <xdr:spPr>
          <a:xfrm>
            <a:off x="7493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6" name="$B$2">
            <a:extLst>
              <a:ext uri="{FF2B5EF4-FFF2-40B4-BE49-F238E27FC236}">
                <a16:creationId xmlns:a16="http://schemas.microsoft.com/office/drawing/2014/main" id="{333514A0-CA18-42AD-8FA9-A9C4A22FBF16}"/>
              </a:ext>
            </a:extLst>
          </xdr:cNvPr>
          <xdr:cNvSpPr/>
        </xdr:nvSpPr>
        <xdr:spPr>
          <a:xfrm>
            <a:off x="800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7" name="$B$2">
            <a:extLst>
              <a:ext uri="{FF2B5EF4-FFF2-40B4-BE49-F238E27FC236}">
                <a16:creationId xmlns:a16="http://schemas.microsoft.com/office/drawing/2014/main" id="{0FB9AAF9-300B-4993-AAF0-9FDE733976CB}"/>
              </a:ext>
            </a:extLst>
          </xdr:cNvPr>
          <xdr:cNvSpPr/>
        </xdr:nvSpPr>
        <xdr:spPr>
          <a:xfrm>
            <a:off x="8128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8" name="$B$2">
            <a:extLst>
              <a:ext uri="{FF2B5EF4-FFF2-40B4-BE49-F238E27FC236}">
                <a16:creationId xmlns:a16="http://schemas.microsoft.com/office/drawing/2014/main" id="{03B35031-49A2-47AE-B4F2-59879E852341}"/>
              </a:ext>
            </a:extLst>
          </xdr:cNvPr>
          <xdr:cNvSpPr/>
        </xdr:nvSpPr>
        <xdr:spPr>
          <a:xfrm>
            <a:off x="850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9" name="$B$2">
            <a:extLst>
              <a:ext uri="{FF2B5EF4-FFF2-40B4-BE49-F238E27FC236}">
                <a16:creationId xmlns:a16="http://schemas.microsoft.com/office/drawing/2014/main" id="{46199B57-9A20-458E-BCF7-4185CF66184D}"/>
              </a:ext>
            </a:extLst>
          </xdr:cNvPr>
          <xdr:cNvSpPr/>
        </xdr:nvSpPr>
        <xdr:spPr>
          <a:xfrm>
            <a:off x="8763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0" name="$B$2">
            <a:extLst>
              <a:ext uri="{FF2B5EF4-FFF2-40B4-BE49-F238E27FC236}">
                <a16:creationId xmlns:a16="http://schemas.microsoft.com/office/drawing/2014/main" id="{114F0F19-BAF6-4ABA-BBD5-C88C59ADBB0E}"/>
              </a:ext>
            </a:extLst>
          </xdr:cNvPr>
          <xdr:cNvSpPr/>
        </xdr:nvSpPr>
        <xdr:spPr>
          <a:xfrm>
            <a:off x="889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1" name="$B$2">
            <a:extLst>
              <a:ext uri="{FF2B5EF4-FFF2-40B4-BE49-F238E27FC236}">
                <a16:creationId xmlns:a16="http://schemas.microsoft.com/office/drawing/2014/main" id="{753C2F26-C6D7-4CAD-9704-7E8DE1A33107}"/>
              </a:ext>
            </a:extLst>
          </xdr:cNvPr>
          <xdr:cNvSpPr/>
        </xdr:nvSpPr>
        <xdr:spPr>
          <a:xfrm>
            <a:off x="901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2" name="$B$2">
            <a:extLst>
              <a:ext uri="{FF2B5EF4-FFF2-40B4-BE49-F238E27FC236}">
                <a16:creationId xmlns:a16="http://schemas.microsoft.com/office/drawing/2014/main" id="{85AAC121-2929-4E25-B92B-6F36E74FAFA2}"/>
              </a:ext>
            </a:extLst>
          </xdr:cNvPr>
          <xdr:cNvSpPr/>
        </xdr:nvSpPr>
        <xdr:spPr>
          <a:xfrm>
            <a:off x="914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3" name="$B$2">
            <a:extLst>
              <a:ext uri="{FF2B5EF4-FFF2-40B4-BE49-F238E27FC236}">
                <a16:creationId xmlns:a16="http://schemas.microsoft.com/office/drawing/2014/main" id="{D3FD6AE2-A4CF-4B25-9247-D265BEB7391B}"/>
              </a:ext>
            </a:extLst>
          </xdr:cNvPr>
          <xdr:cNvSpPr/>
        </xdr:nvSpPr>
        <xdr:spPr>
          <a:xfrm>
            <a:off x="927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4" name="$B$2">
            <a:extLst>
              <a:ext uri="{FF2B5EF4-FFF2-40B4-BE49-F238E27FC236}">
                <a16:creationId xmlns:a16="http://schemas.microsoft.com/office/drawing/2014/main" id="{9D8D2252-1E73-4786-8EDE-6BAFA78CE9A4}"/>
              </a:ext>
            </a:extLst>
          </xdr:cNvPr>
          <xdr:cNvSpPr/>
        </xdr:nvSpPr>
        <xdr:spPr>
          <a:xfrm>
            <a:off x="9398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5" name="$B$2">
            <a:extLst>
              <a:ext uri="{FF2B5EF4-FFF2-40B4-BE49-F238E27FC236}">
                <a16:creationId xmlns:a16="http://schemas.microsoft.com/office/drawing/2014/main" id="{5BEA24B3-983E-4CE8-9260-6311B1037029}"/>
              </a:ext>
            </a:extLst>
          </xdr:cNvPr>
          <xdr:cNvSpPr/>
        </xdr:nvSpPr>
        <xdr:spPr>
          <a:xfrm>
            <a:off x="952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6" name="$B$2">
            <a:extLst>
              <a:ext uri="{FF2B5EF4-FFF2-40B4-BE49-F238E27FC236}">
                <a16:creationId xmlns:a16="http://schemas.microsoft.com/office/drawing/2014/main" id="{CD0EFCD2-DB34-40B1-964C-19879A6614B8}"/>
              </a:ext>
            </a:extLst>
          </xdr:cNvPr>
          <xdr:cNvSpPr/>
        </xdr:nvSpPr>
        <xdr:spPr>
          <a:xfrm>
            <a:off x="977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7" name="$B$2">
            <a:extLst>
              <a:ext uri="{FF2B5EF4-FFF2-40B4-BE49-F238E27FC236}">
                <a16:creationId xmlns:a16="http://schemas.microsoft.com/office/drawing/2014/main" id="{A5560D00-5EB2-49C4-8C96-DF76A63CA29A}"/>
              </a:ext>
            </a:extLst>
          </xdr:cNvPr>
          <xdr:cNvSpPr/>
        </xdr:nvSpPr>
        <xdr:spPr>
          <a:xfrm>
            <a:off x="1028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8" name="$B$2">
            <a:extLst>
              <a:ext uri="{FF2B5EF4-FFF2-40B4-BE49-F238E27FC236}">
                <a16:creationId xmlns:a16="http://schemas.microsoft.com/office/drawing/2014/main" id="{B98E4FBD-32EB-4DAC-894D-53F4AB5CE8C5}"/>
              </a:ext>
            </a:extLst>
          </xdr:cNvPr>
          <xdr:cNvSpPr/>
        </xdr:nvSpPr>
        <xdr:spPr>
          <a:xfrm>
            <a:off x="1054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9" name="$B$2">
            <a:extLst>
              <a:ext uri="{FF2B5EF4-FFF2-40B4-BE49-F238E27FC236}">
                <a16:creationId xmlns:a16="http://schemas.microsoft.com/office/drawing/2014/main" id="{E27A356C-3754-42FE-BBFD-68B9611FC5AF}"/>
              </a:ext>
            </a:extLst>
          </xdr:cNvPr>
          <xdr:cNvSpPr/>
        </xdr:nvSpPr>
        <xdr:spPr>
          <a:xfrm>
            <a:off x="10922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228118</xdr:colOff>
      <xdr:row>2</xdr:row>
      <xdr:rowOff>0</xdr:rowOff>
    </xdr:from>
    <xdr:to>
      <xdr:col>1</xdr:col>
      <xdr:colOff>2179801</xdr:colOff>
      <xdr:row>3</xdr:row>
      <xdr:rowOff>0</xdr:rowOff>
    </xdr:to>
    <xdr:grpSp>
      <xdr:nvGrpSpPr>
        <xdr:cNvPr id="44631" name="$B$3" descr="Linear barcode, 95 modules" title="11111142221113222211132222111111321132113211321114111114111">
          <a:extLst>
            <a:ext uri="{FF2B5EF4-FFF2-40B4-BE49-F238E27FC236}">
              <a16:creationId xmlns:a16="http://schemas.microsoft.com/office/drawing/2014/main" id="{A29DA34C-1440-4409-BC01-8168D85D81F8}"/>
            </a:ext>
          </a:extLst>
        </xdr:cNvPr>
        <xdr:cNvGrpSpPr>
          <a:grpSpLocks noChangeAspect="1"/>
        </xdr:cNvGrpSpPr>
      </xdr:nvGrpSpPr>
      <xdr:grpSpPr>
        <a:xfrm>
          <a:off x="1195858" y="2865120"/>
          <a:ext cx="1951683" cy="266700"/>
          <a:chOff x="0" y="12700"/>
          <a:chExt cx="1206500" cy="12700"/>
        </a:xfrm>
        <a:solidFill>
          <a:srgbClr val="000000"/>
        </a:solidFill>
      </xdr:grpSpPr>
      <xdr:sp macro="" textlink="">
        <xdr:nvSpPr>
          <xdr:cNvPr id="44601" name="$B$3">
            <a:extLst>
              <a:ext uri="{FF2B5EF4-FFF2-40B4-BE49-F238E27FC236}">
                <a16:creationId xmlns:a16="http://schemas.microsoft.com/office/drawing/2014/main" id="{3C0295D5-3F80-4E72-B028-9F466FAEFCB4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02" name="$B$3">
            <a:extLst>
              <a:ext uri="{FF2B5EF4-FFF2-40B4-BE49-F238E27FC236}">
                <a16:creationId xmlns:a16="http://schemas.microsoft.com/office/drawing/2014/main" id="{8626D3F0-174A-4A5B-B5EE-D3FAC2D2C7BD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03" name="$B$3">
            <a:extLst>
              <a:ext uri="{FF2B5EF4-FFF2-40B4-BE49-F238E27FC236}">
                <a16:creationId xmlns:a16="http://schemas.microsoft.com/office/drawing/2014/main" id="{01F0107D-A758-4210-BB76-88C344C7A487}"/>
              </a:ext>
            </a:extLst>
          </xdr:cNvPr>
          <xdr:cNvSpPr/>
        </xdr:nvSpPr>
        <xdr:spPr>
          <a:xfrm>
            <a:off x="50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04" name="$B$3">
            <a:extLst>
              <a:ext uri="{FF2B5EF4-FFF2-40B4-BE49-F238E27FC236}">
                <a16:creationId xmlns:a16="http://schemas.microsoft.com/office/drawing/2014/main" id="{849A9E3D-89A7-4A31-87D2-FE70DF85682D}"/>
              </a:ext>
            </a:extLst>
          </xdr:cNvPr>
          <xdr:cNvSpPr/>
        </xdr:nvSpPr>
        <xdr:spPr>
          <a:xfrm>
            <a:off x="76200" y="1270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05" name="$B$3">
            <a:extLst>
              <a:ext uri="{FF2B5EF4-FFF2-40B4-BE49-F238E27FC236}">
                <a16:creationId xmlns:a16="http://schemas.microsoft.com/office/drawing/2014/main" id="{51C704E0-9AE0-42C9-87F8-B0682935A76B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06" name="$B$3">
            <a:extLst>
              <a:ext uri="{FF2B5EF4-FFF2-40B4-BE49-F238E27FC236}">
                <a16:creationId xmlns:a16="http://schemas.microsoft.com/office/drawing/2014/main" id="{516A4D66-E0FC-4998-BD16-ACA87F9AAF04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07" name="$B$3">
            <a:extLst>
              <a:ext uri="{FF2B5EF4-FFF2-40B4-BE49-F238E27FC236}">
                <a16:creationId xmlns:a16="http://schemas.microsoft.com/office/drawing/2014/main" id="{FB5FFBBB-60EC-45DA-B94E-3E94A98865E2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08" name="$B$3">
            <a:extLst>
              <a:ext uri="{FF2B5EF4-FFF2-40B4-BE49-F238E27FC236}">
                <a16:creationId xmlns:a16="http://schemas.microsoft.com/office/drawing/2014/main" id="{38AFEFC5-D75E-4945-8AAD-C250C7C594D9}"/>
              </a:ext>
            </a:extLst>
          </xdr:cNvPr>
          <xdr:cNvSpPr/>
        </xdr:nvSpPr>
        <xdr:spPr>
          <a:xfrm>
            <a:off x="279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09" name="$B$3">
            <a:extLst>
              <a:ext uri="{FF2B5EF4-FFF2-40B4-BE49-F238E27FC236}">
                <a16:creationId xmlns:a16="http://schemas.microsoft.com/office/drawing/2014/main" id="{9E2AB638-EC7E-4E31-8B44-50FC4C59526F}"/>
              </a:ext>
            </a:extLst>
          </xdr:cNvPr>
          <xdr:cNvSpPr/>
        </xdr:nvSpPr>
        <xdr:spPr>
          <a:xfrm>
            <a:off x="330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0" name="$B$3">
            <a:extLst>
              <a:ext uri="{FF2B5EF4-FFF2-40B4-BE49-F238E27FC236}">
                <a16:creationId xmlns:a16="http://schemas.microsoft.com/office/drawing/2014/main" id="{3CECD8FC-FEB4-4E8E-9D5F-CFFD5E9561F5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1" name="$B$3">
            <a:extLst>
              <a:ext uri="{FF2B5EF4-FFF2-40B4-BE49-F238E27FC236}">
                <a16:creationId xmlns:a16="http://schemas.microsoft.com/office/drawing/2014/main" id="{A4611D61-3E2A-43D6-96FB-12DDA8CE9DFA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2" name="$B$3">
            <a:extLst>
              <a:ext uri="{FF2B5EF4-FFF2-40B4-BE49-F238E27FC236}">
                <a16:creationId xmlns:a16="http://schemas.microsoft.com/office/drawing/2014/main" id="{BF0B8B0D-578E-4F25-B1AC-D984B601F687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3" name="$B$3">
            <a:extLst>
              <a:ext uri="{FF2B5EF4-FFF2-40B4-BE49-F238E27FC236}">
                <a16:creationId xmlns:a16="http://schemas.microsoft.com/office/drawing/2014/main" id="{27E1134A-AD11-4506-8766-AABC5FD35654}"/>
              </a:ext>
            </a:extLst>
          </xdr:cNvPr>
          <xdr:cNvSpPr/>
        </xdr:nvSpPr>
        <xdr:spPr>
          <a:xfrm>
            <a:off x="508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4" name="$B$3">
            <a:extLst>
              <a:ext uri="{FF2B5EF4-FFF2-40B4-BE49-F238E27FC236}">
                <a16:creationId xmlns:a16="http://schemas.microsoft.com/office/drawing/2014/main" id="{0FEC4767-E6D3-465D-AE1A-0E78AB327E20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5" name="$B$3">
            <a:extLst>
              <a:ext uri="{FF2B5EF4-FFF2-40B4-BE49-F238E27FC236}">
                <a16:creationId xmlns:a16="http://schemas.microsoft.com/office/drawing/2014/main" id="{B7B74C2B-152D-4EB9-AE75-7B740A3231F7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6" name="$B$3">
            <a:extLst>
              <a:ext uri="{FF2B5EF4-FFF2-40B4-BE49-F238E27FC236}">
                <a16:creationId xmlns:a16="http://schemas.microsoft.com/office/drawing/2014/main" id="{5F1C9855-B302-4941-A29A-F4049428462F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7" name="$B$3">
            <a:extLst>
              <a:ext uri="{FF2B5EF4-FFF2-40B4-BE49-F238E27FC236}">
                <a16:creationId xmlns:a16="http://schemas.microsoft.com/office/drawing/2014/main" id="{F1E2F13B-7ED9-4191-A6E4-F3A88E476036}"/>
              </a:ext>
            </a:extLst>
          </xdr:cNvPr>
          <xdr:cNvSpPr/>
        </xdr:nvSpPr>
        <xdr:spPr>
          <a:xfrm>
            <a:off x="6350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8" name="$B$3">
            <a:extLst>
              <a:ext uri="{FF2B5EF4-FFF2-40B4-BE49-F238E27FC236}">
                <a16:creationId xmlns:a16="http://schemas.microsoft.com/office/drawing/2014/main" id="{3A8C9536-5969-4436-99E4-DD6302CBDE0A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9" name="$B$3">
            <a:extLst>
              <a:ext uri="{FF2B5EF4-FFF2-40B4-BE49-F238E27FC236}">
                <a16:creationId xmlns:a16="http://schemas.microsoft.com/office/drawing/2014/main" id="{1BED9BC8-3E90-4AAF-8D88-291253939DAC}"/>
              </a:ext>
            </a:extLst>
          </xdr:cNvPr>
          <xdr:cNvSpPr/>
        </xdr:nvSpPr>
        <xdr:spPr>
          <a:xfrm>
            <a:off x="7239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0" name="$B$3">
            <a:extLst>
              <a:ext uri="{FF2B5EF4-FFF2-40B4-BE49-F238E27FC236}">
                <a16:creationId xmlns:a16="http://schemas.microsoft.com/office/drawing/2014/main" id="{4360BA54-0053-413B-A694-195B3C50CA7B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1" name="$B$3">
            <a:extLst>
              <a:ext uri="{FF2B5EF4-FFF2-40B4-BE49-F238E27FC236}">
                <a16:creationId xmlns:a16="http://schemas.microsoft.com/office/drawing/2014/main" id="{0BDD71CF-16A2-418D-AFEE-712FFBC0C30E}"/>
              </a:ext>
            </a:extLst>
          </xdr:cNvPr>
          <xdr:cNvSpPr/>
        </xdr:nvSpPr>
        <xdr:spPr>
          <a:xfrm>
            <a:off x="812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2" name="$B$3">
            <a:extLst>
              <a:ext uri="{FF2B5EF4-FFF2-40B4-BE49-F238E27FC236}">
                <a16:creationId xmlns:a16="http://schemas.microsoft.com/office/drawing/2014/main" id="{57DFF5FD-C77D-4AD8-BA86-B62B8E578480}"/>
              </a:ext>
            </a:extLst>
          </xdr:cNvPr>
          <xdr:cNvSpPr/>
        </xdr:nvSpPr>
        <xdr:spPr>
          <a:xfrm>
            <a:off x="876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3" name="$B$3">
            <a:extLst>
              <a:ext uri="{FF2B5EF4-FFF2-40B4-BE49-F238E27FC236}">
                <a16:creationId xmlns:a16="http://schemas.microsoft.com/office/drawing/2014/main" id="{B741C88A-1599-4E56-A862-34E60ECB7308}"/>
              </a:ext>
            </a:extLst>
          </xdr:cNvPr>
          <xdr:cNvSpPr/>
        </xdr:nvSpPr>
        <xdr:spPr>
          <a:xfrm>
            <a:off x="9017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4" name="$B$3">
            <a:extLst>
              <a:ext uri="{FF2B5EF4-FFF2-40B4-BE49-F238E27FC236}">
                <a16:creationId xmlns:a16="http://schemas.microsoft.com/office/drawing/2014/main" id="{4E9462B9-C366-4FD4-8CA1-E4026D3D339B}"/>
              </a:ext>
            </a:extLst>
          </xdr:cNvPr>
          <xdr:cNvSpPr/>
        </xdr:nvSpPr>
        <xdr:spPr>
          <a:xfrm>
            <a:off x="965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5" name="$B$3">
            <a:extLst>
              <a:ext uri="{FF2B5EF4-FFF2-40B4-BE49-F238E27FC236}">
                <a16:creationId xmlns:a16="http://schemas.microsoft.com/office/drawing/2014/main" id="{B56B7218-A692-4FB3-8575-C738C33A27FF}"/>
              </a:ext>
            </a:extLst>
          </xdr:cNvPr>
          <xdr:cNvSpPr/>
        </xdr:nvSpPr>
        <xdr:spPr>
          <a:xfrm>
            <a:off x="990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6" name="$B$3">
            <a:extLst>
              <a:ext uri="{FF2B5EF4-FFF2-40B4-BE49-F238E27FC236}">
                <a16:creationId xmlns:a16="http://schemas.microsoft.com/office/drawing/2014/main" id="{2A105B03-0628-45FD-9E7F-F71A02096754}"/>
              </a:ext>
            </a:extLst>
          </xdr:cNvPr>
          <xdr:cNvSpPr/>
        </xdr:nvSpPr>
        <xdr:spPr>
          <a:xfrm>
            <a:off x="1054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7" name="$B$3">
            <a:extLst>
              <a:ext uri="{FF2B5EF4-FFF2-40B4-BE49-F238E27FC236}">
                <a16:creationId xmlns:a16="http://schemas.microsoft.com/office/drawing/2014/main" id="{CEDB7F41-36A2-44C7-B725-5656FA01FBE6}"/>
              </a:ext>
            </a:extLst>
          </xdr:cNvPr>
          <xdr:cNvSpPr/>
        </xdr:nvSpPr>
        <xdr:spPr>
          <a:xfrm>
            <a:off x="1079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8" name="$B$3">
            <a:extLst>
              <a:ext uri="{FF2B5EF4-FFF2-40B4-BE49-F238E27FC236}">
                <a16:creationId xmlns:a16="http://schemas.microsoft.com/office/drawing/2014/main" id="{D6AB8148-B05E-4ECC-AD85-72CEBDD1629A}"/>
              </a:ext>
            </a:extLst>
          </xdr:cNvPr>
          <xdr:cNvSpPr/>
        </xdr:nvSpPr>
        <xdr:spPr>
          <a:xfrm>
            <a:off x="1104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9" name="$B$3">
            <a:extLst>
              <a:ext uri="{FF2B5EF4-FFF2-40B4-BE49-F238E27FC236}">
                <a16:creationId xmlns:a16="http://schemas.microsoft.com/office/drawing/2014/main" id="{FB7BA459-FD33-48DE-A66A-5FE08E0792AA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30" name="$B$3">
            <a:extLst>
              <a:ext uri="{FF2B5EF4-FFF2-40B4-BE49-F238E27FC236}">
                <a16:creationId xmlns:a16="http://schemas.microsoft.com/office/drawing/2014/main" id="{75568507-C28A-4537-B3F4-532E874F9F92}"/>
              </a:ext>
            </a:extLst>
          </xdr:cNvPr>
          <xdr:cNvSpPr/>
        </xdr:nvSpPr>
        <xdr:spPr>
          <a:xfrm>
            <a:off x="1193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424927</xdr:colOff>
      <xdr:row>3</xdr:row>
      <xdr:rowOff>0</xdr:rowOff>
    </xdr:from>
    <xdr:to>
      <xdr:col>1</xdr:col>
      <xdr:colOff>1982993</xdr:colOff>
      <xdr:row>4</xdr:row>
      <xdr:rowOff>0</xdr:rowOff>
    </xdr:to>
    <xdr:grpSp>
      <xdr:nvGrpSpPr>
        <xdr:cNvPr id="44649" name="$B$4" descr="Linear barcode, 51 modules" title="111411122211132122231121141111111">
          <a:extLst>
            <a:ext uri="{FF2B5EF4-FFF2-40B4-BE49-F238E27FC236}">
              <a16:creationId xmlns:a16="http://schemas.microsoft.com/office/drawing/2014/main" id="{0D379AF1-2EDC-4815-86B9-DC1D83CFDBB5}"/>
            </a:ext>
          </a:extLst>
        </xdr:cNvPr>
        <xdr:cNvGrpSpPr>
          <a:grpSpLocks noChangeAspect="1"/>
        </xdr:cNvGrpSpPr>
      </xdr:nvGrpSpPr>
      <xdr:grpSpPr>
        <a:xfrm>
          <a:off x="1392667" y="3131820"/>
          <a:ext cx="1558066" cy="266700"/>
          <a:chOff x="0" y="12700"/>
          <a:chExt cx="647700" cy="12700"/>
        </a:xfrm>
        <a:solidFill>
          <a:srgbClr val="000000"/>
        </a:solidFill>
      </xdr:grpSpPr>
      <xdr:sp macro="" textlink="">
        <xdr:nvSpPr>
          <xdr:cNvPr id="44632" name="$B$4">
            <a:extLst>
              <a:ext uri="{FF2B5EF4-FFF2-40B4-BE49-F238E27FC236}">
                <a16:creationId xmlns:a16="http://schemas.microsoft.com/office/drawing/2014/main" id="{8B13A271-76E5-4086-A21A-40392CC82BA2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33" name="$B$4">
            <a:extLst>
              <a:ext uri="{FF2B5EF4-FFF2-40B4-BE49-F238E27FC236}">
                <a16:creationId xmlns:a16="http://schemas.microsoft.com/office/drawing/2014/main" id="{73F36392-F5F0-46A8-B857-016CACBDABDF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34" name="$B$4">
            <a:extLst>
              <a:ext uri="{FF2B5EF4-FFF2-40B4-BE49-F238E27FC236}">
                <a16:creationId xmlns:a16="http://schemas.microsoft.com/office/drawing/2014/main" id="{BDF98390-8A34-4661-8C01-C0F8819018E3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35" name="$B$4">
            <a:extLst>
              <a:ext uri="{FF2B5EF4-FFF2-40B4-BE49-F238E27FC236}">
                <a16:creationId xmlns:a16="http://schemas.microsoft.com/office/drawing/2014/main" id="{D3971E11-1AF3-4712-8000-93C57DA5FA8A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36" name="$B$4">
            <a:extLst>
              <a:ext uri="{FF2B5EF4-FFF2-40B4-BE49-F238E27FC236}">
                <a16:creationId xmlns:a16="http://schemas.microsoft.com/office/drawing/2014/main" id="{D94C0E9A-952C-426D-8898-612F4B4A11C1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37" name="$B$4">
            <a:extLst>
              <a:ext uri="{FF2B5EF4-FFF2-40B4-BE49-F238E27FC236}">
                <a16:creationId xmlns:a16="http://schemas.microsoft.com/office/drawing/2014/main" id="{B31CDAD1-D60E-4C9F-B53C-820EEE6E13DD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38" name="$B$4">
            <a:extLst>
              <a:ext uri="{FF2B5EF4-FFF2-40B4-BE49-F238E27FC236}">
                <a16:creationId xmlns:a16="http://schemas.microsoft.com/office/drawing/2014/main" id="{E40B405D-091F-4973-A28D-06EB54245620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39" name="$B$4">
            <a:extLst>
              <a:ext uri="{FF2B5EF4-FFF2-40B4-BE49-F238E27FC236}">
                <a16:creationId xmlns:a16="http://schemas.microsoft.com/office/drawing/2014/main" id="{80C2AE4A-4697-4D3C-A07D-70FAA0BC108C}"/>
              </a:ext>
            </a:extLst>
          </xdr:cNvPr>
          <xdr:cNvSpPr/>
        </xdr:nvSpPr>
        <xdr:spPr>
          <a:xfrm>
            <a:off x="279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40" name="$B$4">
            <a:extLst>
              <a:ext uri="{FF2B5EF4-FFF2-40B4-BE49-F238E27FC236}">
                <a16:creationId xmlns:a16="http://schemas.microsoft.com/office/drawing/2014/main" id="{8E093A0A-C27D-4A81-9512-F0D4AC1754DC}"/>
              </a:ext>
            </a:extLst>
          </xdr:cNvPr>
          <xdr:cNvSpPr/>
        </xdr:nvSpPr>
        <xdr:spPr>
          <a:xfrm>
            <a:off x="317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41" name="$B$4">
            <a:extLst>
              <a:ext uri="{FF2B5EF4-FFF2-40B4-BE49-F238E27FC236}">
                <a16:creationId xmlns:a16="http://schemas.microsoft.com/office/drawing/2014/main" id="{45AF042D-603E-456C-83AD-44B00A164CF4}"/>
              </a:ext>
            </a:extLst>
          </xdr:cNvPr>
          <xdr:cNvSpPr/>
        </xdr:nvSpPr>
        <xdr:spPr>
          <a:xfrm>
            <a:off x="3683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42" name="$B$4">
            <a:extLst>
              <a:ext uri="{FF2B5EF4-FFF2-40B4-BE49-F238E27FC236}">
                <a16:creationId xmlns:a16="http://schemas.microsoft.com/office/drawing/2014/main" id="{58DDC525-4D6D-41F1-93AB-3F0A189C6EB6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43" name="$B$4">
            <a:extLst>
              <a:ext uri="{FF2B5EF4-FFF2-40B4-BE49-F238E27FC236}">
                <a16:creationId xmlns:a16="http://schemas.microsoft.com/office/drawing/2014/main" id="{A713A62B-6892-4BE0-ACE2-F9FF9F0EEDB1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44" name="$B$4">
            <a:extLst>
              <a:ext uri="{FF2B5EF4-FFF2-40B4-BE49-F238E27FC236}">
                <a16:creationId xmlns:a16="http://schemas.microsoft.com/office/drawing/2014/main" id="{82F139D4-D09A-4CD2-A1ED-FB8C7DFAF22A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45" name="$B$4">
            <a:extLst>
              <a:ext uri="{FF2B5EF4-FFF2-40B4-BE49-F238E27FC236}">
                <a16:creationId xmlns:a16="http://schemas.microsoft.com/office/drawing/2014/main" id="{8433894A-4813-4189-89DB-93B08DC63218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46" name="$B$4">
            <a:extLst>
              <a:ext uri="{FF2B5EF4-FFF2-40B4-BE49-F238E27FC236}">
                <a16:creationId xmlns:a16="http://schemas.microsoft.com/office/drawing/2014/main" id="{F2133CA0-57F6-499C-B446-5479FCD9624E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47" name="$B$4">
            <a:extLst>
              <a:ext uri="{FF2B5EF4-FFF2-40B4-BE49-F238E27FC236}">
                <a16:creationId xmlns:a16="http://schemas.microsoft.com/office/drawing/2014/main" id="{83414935-F81B-454C-8026-12AFC45BFC6C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48" name="$B$4">
            <a:extLst>
              <a:ext uri="{FF2B5EF4-FFF2-40B4-BE49-F238E27FC236}">
                <a16:creationId xmlns:a16="http://schemas.microsoft.com/office/drawing/2014/main" id="{37A71FA6-E9E4-40FC-8FB6-4069B978C32B}"/>
              </a:ext>
            </a:extLst>
          </xdr:cNvPr>
          <xdr:cNvSpPr/>
        </xdr:nvSpPr>
        <xdr:spPr>
          <a:xfrm>
            <a:off x="635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228118</xdr:colOff>
      <xdr:row>4</xdr:row>
      <xdr:rowOff>0</xdr:rowOff>
    </xdr:from>
    <xdr:to>
      <xdr:col>1</xdr:col>
      <xdr:colOff>2179801</xdr:colOff>
      <xdr:row>5</xdr:row>
      <xdr:rowOff>0</xdr:rowOff>
    </xdr:to>
    <xdr:grpSp>
      <xdr:nvGrpSpPr>
        <xdr:cNvPr id="44680" name="$B$5" descr="Linear barcode, 95 modules" title="11112311123122222211123222111111123114113211321132111411111">
          <a:extLst>
            <a:ext uri="{FF2B5EF4-FFF2-40B4-BE49-F238E27FC236}">
              <a16:creationId xmlns:a16="http://schemas.microsoft.com/office/drawing/2014/main" id="{39CB4C0B-1F55-46C7-971B-DAFE1A6BA9F1}"/>
            </a:ext>
          </a:extLst>
        </xdr:cNvPr>
        <xdr:cNvGrpSpPr>
          <a:grpSpLocks noChangeAspect="1"/>
        </xdr:cNvGrpSpPr>
      </xdr:nvGrpSpPr>
      <xdr:grpSpPr>
        <a:xfrm>
          <a:off x="1195858" y="3398520"/>
          <a:ext cx="1951683" cy="266700"/>
          <a:chOff x="0" y="12700"/>
          <a:chExt cx="1206500" cy="12700"/>
        </a:xfrm>
        <a:solidFill>
          <a:srgbClr val="000000"/>
        </a:solidFill>
      </xdr:grpSpPr>
      <xdr:sp macro="" textlink="">
        <xdr:nvSpPr>
          <xdr:cNvPr id="44650" name="$B$5">
            <a:extLst>
              <a:ext uri="{FF2B5EF4-FFF2-40B4-BE49-F238E27FC236}">
                <a16:creationId xmlns:a16="http://schemas.microsoft.com/office/drawing/2014/main" id="{38CE773E-A988-4CBA-9387-C60E03DD659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51" name="$B$5">
            <a:extLst>
              <a:ext uri="{FF2B5EF4-FFF2-40B4-BE49-F238E27FC236}">
                <a16:creationId xmlns:a16="http://schemas.microsoft.com/office/drawing/2014/main" id="{EC498A62-BF82-4EC3-86C3-C8710EAE9F78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52" name="$B$5">
            <a:extLst>
              <a:ext uri="{FF2B5EF4-FFF2-40B4-BE49-F238E27FC236}">
                <a16:creationId xmlns:a16="http://schemas.microsoft.com/office/drawing/2014/main" id="{E6E9482B-F986-43A3-A959-8ABF9252F3EA}"/>
              </a:ext>
            </a:extLst>
          </xdr:cNvPr>
          <xdr:cNvSpPr/>
        </xdr:nvSpPr>
        <xdr:spPr>
          <a:xfrm>
            <a:off x="508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53" name="$B$5">
            <a:extLst>
              <a:ext uri="{FF2B5EF4-FFF2-40B4-BE49-F238E27FC236}">
                <a16:creationId xmlns:a16="http://schemas.microsoft.com/office/drawing/2014/main" id="{55F52E5F-01FD-4FAD-98ED-2FFBF20F30D5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54" name="$B$5">
            <a:extLst>
              <a:ext uri="{FF2B5EF4-FFF2-40B4-BE49-F238E27FC236}">
                <a16:creationId xmlns:a16="http://schemas.microsoft.com/office/drawing/2014/main" id="{19525E4A-A936-47D1-9226-B091BAE861F1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55" name="$B$5">
            <a:extLst>
              <a:ext uri="{FF2B5EF4-FFF2-40B4-BE49-F238E27FC236}">
                <a16:creationId xmlns:a16="http://schemas.microsoft.com/office/drawing/2014/main" id="{72A07DED-02DB-42D6-8A03-748C972FB106}"/>
              </a:ext>
            </a:extLst>
          </xdr:cNvPr>
          <xdr:cNvSpPr/>
        </xdr:nvSpPr>
        <xdr:spPr>
          <a:xfrm>
            <a:off x="177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56" name="$B$5">
            <a:extLst>
              <a:ext uri="{FF2B5EF4-FFF2-40B4-BE49-F238E27FC236}">
                <a16:creationId xmlns:a16="http://schemas.microsoft.com/office/drawing/2014/main" id="{5E7390CF-48C0-4086-811A-B9ED7B881EDA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57" name="$B$5">
            <a:extLst>
              <a:ext uri="{FF2B5EF4-FFF2-40B4-BE49-F238E27FC236}">
                <a16:creationId xmlns:a16="http://schemas.microsoft.com/office/drawing/2014/main" id="{197CC333-CD1C-4BBB-B069-CF5325C3AB68}"/>
              </a:ext>
            </a:extLst>
          </xdr:cNvPr>
          <xdr:cNvSpPr/>
        </xdr:nvSpPr>
        <xdr:spPr>
          <a:xfrm>
            <a:off x="279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58" name="$B$5">
            <a:extLst>
              <a:ext uri="{FF2B5EF4-FFF2-40B4-BE49-F238E27FC236}">
                <a16:creationId xmlns:a16="http://schemas.microsoft.com/office/drawing/2014/main" id="{A3D58A08-07DE-401A-92FE-DA1FF7EE223B}"/>
              </a:ext>
            </a:extLst>
          </xdr:cNvPr>
          <xdr:cNvSpPr/>
        </xdr:nvSpPr>
        <xdr:spPr>
          <a:xfrm>
            <a:off x="330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59" name="$B$5">
            <a:extLst>
              <a:ext uri="{FF2B5EF4-FFF2-40B4-BE49-F238E27FC236}">
                <a16:creationId xmlns:a16="http://schemas.microsoft.com/office/drawing/2014/main" id="{9FC136D9-857B-4CBA-B3C0-9250B34B7F44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0" name="$B$5">
            <a:extLst>
              <a:ext uri="{FF2B5EF4-FFF2-40B4-BE49-F238E27FC236}">
                <a16:creationId xmlns:a16="http://schemas.microsoft.com/office/drawing/2014/main" id="{B71F8FD8-15D3-4390-923B-DA7863D12F72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1" name="$B$5">
            <a:extLst>
              <a:ext uri="{FF2B5EF4-FFF2-40B4-BE49-F238E27FC236}">
                <a16:creationId xmlns:a16="http://schemas.microsoft.com/office/drawing/2014/main" id="{275F4522-A2EF-4D94-BBED-C78F60E45DDF}"/>
              </a:ext>
            </a:extLst>
          </xdr:cNvPr>
          <xdr:cNvSpPr/>
        </xdr:nvSpPr>
        <xdr:spPr>
          <a:xfrm>
            <a:off x="4445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2" name="$B$5">
            <a:extLst>
              <a:ext uri="{FF2B5EF4-FFF2-40B4-BE49-F238E27FC236}">
                <a16:creationId xmlns:a16="http://schemas.microsoft.com/office/drawing/2014/main" id="{162D8F5E-756B-4FF6-A8FC-4A13455F30F6}"/>
              </a:ext>
            </a:extLst>
          </xdr:cNvPr>
          <xdr:cNvSpPr/>
        </xdr:nvSpPr>
        <xdr:spPr>
          <a:xfrm>
            <a:off x="508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3" name="$B$5">
            <a:extLst>
              <a:ext uri="{FF2B5EF4-FFF2-40B4-BE49-F238E27FC236}">
                <a16:creationId xmlns:a16="http://schemas.microsoft.com/office/drawing/2014/main" id="{D94C3897-E100-4207-92E9-C72CE5A0B229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4" name="$B$5">
            <a:extLst>
              <a:ext uri="{FF2B5EF4-FFF2-40B4-BE49-F238E27FC236}">
                <a16:creationId xmlns:a16="http://schemas.microsoft.com/office/drawing/2014/main" id="{0D4F4E11-C0E8-4DF3-9B5E-B7DA80775D87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5" name="$B$5">
            <a:extLst>
              <a:ext uri="{FF2B5EF4-FFF2-40B4-BE49-F238E27FC236}">
                <a16:creationId xmlns:a16="http://schemas.microsoft.com/office/drawing/2014/main" id="{98480A0C-87A4-4EE0-BD83-071B51C94E2C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6" name="$B$5">
            <a:extLst>
              <a:ext uri="{FF2B5EF4-FFF2-40B4-BE49-F238E27FC236}">
                <a16:creationId xmlns:a16="http://schemas.microsoft.com/office/drawing/2014/main" id="{613A24C4-3771-4255-B3E4-445364D001BB}"/>
              </a:ext>
            </a:extLst>
          </xdr:cNvPr>
          <xdr:cNvSpPr/>
        </xdr:nvSpPr>
        <xdr:spPr>
          <a:xfrm>
            <a:off x="635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7" name="$B$5">
            <a:extLst>
              <a:ext uri="{FF2B5EF4-FFF2-40B4-BE49-F238E27FC236}">
                <a16:creationId xmlns:a16="http://schemas.microsoft.com/office/drawing/2014/main" id="{5F9B7E34-F2CD-4549-A926-581DE009FEE6}"/>
              </a:ext>
            </a:extLst>
          </xdr:cNvPr>
          <xdr:cNvSpPr/>
        </xdr:nvSpPr>
        <xdr:spPr>
          <a:xfrm>
            <a:off x="6731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8" name="$B$5">
            <a:extLst>
              <a:ext uri="{FF2B5EF4-FFF2-40B4-BE49-F238E27FC236}">
                <a16:creationId xmlns:a16="http://schemas.microsoft.com/office/drawing/2014/main" id="{50EBBCFA-34C7-4CFD-9105-C89C200BE007}"/>
              </a:ext>
            </a:extLst>
          </xdr:cNvPr>
          <xdr:cNvSpPr/>
        </xdr:nvSpPr>
        <xdr:spPr>
          <a:xfrm>
            <a:off x="723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9" name="$B$5">
            <a:extLst>
              <a:ext uri="{FF2B5EF4-FFF2-40B4-BE49-F238E27FC236}">
                <a16:creationId xmlns:a16="http://schemas.microsoft.com/office/drawing/2014/main" id="{1D066153-7FE2-4F26-806E-D815BB7A91F2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0" name="$B$5">
            <a:extLst>
              <a:ext uri="{FF2B5EF4-FFF2-40B4-BE49-F238E27FC236}">
                <a16:creationId xmlns:a16="http://schemas.microsoft.com/office/drawing/2014/main" id="{0217E3E1-8349-4130-9325-54B0231B4DA8}"/>
              </a:ext>
            </a:extLst>
          </xdr:cNvPr>
          <xdr:cNvSpPr/>
        </xdr:nvSpPr>
        <xdr:spPr>
          <a:xfrm>
            <a:off x="812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1" name="$B$5">
            <a:extLst>
              <a:ext uri="{FF2B5EF4-FFF2-40B4-BE49-F238E27FC236}">
                <a16:creationId xmlns:a16="http://schemas.microsoft.com/office/drawing/2014/main" id="{02F8A11A-36C9-4378-8C88-5BCB7D5041CA}"/>
              </a:ext>
            </a:extLst>
          </xdr:cNvPr>
          <xdr:cNvSpPr/>
        </xdr:nvSpPr>
        <xdr:spPr>
          <a:xfrm>
            <a:off x="876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2" name="$B$5">
            <a:extLst>
              <a:ext uri="{FF2B5EF4-FFF2-40B4-BE49-F238E27FC236}">
                <a16:creationId xmlns:a16="http://schemas.microsoft.com/office/drawing/2014/main" id="{42073080-5F0C-41AD-BA8C-4FDB58E035BF}"/>
              </a:ext>
            </a:extLst>
          </xdr:cNvPr>
          <xdr:cNvSpPr/>
        </xdr:nvSpPr>
        <xdr:spPr>
          <a:xfrm>
            <a:off x="9017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3" name="$B$5">
            <a:extLst>
              <a:ext uri="{FF2B5EF4-FFF2-40B4-BE49-F238E27FC236}">
                <a16:creationId xmlns:a16="http://schemas.microsoft.com/office/drawing/2014/main" id="{7331AE94-498E-493F-BE04-D7287CCB7881}"/>
              </a:ext>
            </a:extLst>
          </xdr:cNvPr>
          <xdr:cNvSpPr/>
        </xdr:nvSpPr>
        <xdr:spPr>
          <a:xfrm>
            <a:off x="965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4" name="$B$5">
            <a:extLst>
              <a:ext uri="{FF2B5EF4-FFF2-40B4-BE49-F238E27FC236}">
                <a16:creationId xmlns:a16="http://schemas.microsoft.com/office/drawing/2014/main" id="{6F715B10-73FE-4049-89FF-B3FF63D11BD3}"/>
              </a:ext>
            </a:extLst>
          </xdr:cNvPr>
          <xdr:cNvSpPr/>
        </xdr:nvSpPr>
        <xdr:spPr>
          <a:xfrm>
            <a:off x="9906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5" name="$B$5">
            <a:extLst>
              <a:ext uri="{FF2B5EF4-FFF2-40B4-BE49-F238E27FC236}">
                <a16:creationId xmlns:a16="http://schemas.microsoft.com/office/drawing/2014/main" id="{F87A3CF6-6776-4EED-A3F5-20309F3DA5A4}"/>
              </a:ext>
            </a:extLst>
          </xdr:cNvPr>
          <xdr:cNvSpPr/>
        </xdr:nvSpPr>
        <xdr:spPr>
          <a:xfrm>
            <a:off x="1054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6" name="$B$5">
            <a:extLst>
              <a:ext uri="{FF2B5EF4-FFF2-40B4-BE49-F238E27FC236}">
                <a16:creationId xmlns:a16="http://schemas.microsoft.com/office/drawing/2014/main" id="{520CF296-8895-4BA2-83F9-A35634B031E7}"/>
              </a:ext>
            </a:extLst>
          </xdr:cNvPr>
          <xdr:cNvSpPr/>
        </xdr:nvSpPr>
        <xdr:spPr>
          <a:xfrm>
            <a:off x="1079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7" name="$B$5">
            <a:extLst>
              <a:ext uri="{FF2B5EF4-FFF2-40B4-BE49-F238E27FC236}">
                <a16:creationId xmlns:a16="http://schemas.microsoft.com/office/drawing/2014/main" id="{B7FAEF40-AFA5-45C5-9B8F-2971E81FA1F0}"/>
              </a:ext>
            </a:extLst>
          </xdr:cNvPr>
          <xdr:cNvSpPr/>
        </xdr:nvSpPr>
        <xdr:spPr>
          <a:xfrm>
            <a:off x="1143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8" name="$B$5">
            <a:extLst>
              <a:ext uri="{FF2B5EF4-FFF2-40B4-BE49-F238E27FC236}">
                <a16:creationId xmlns:a16="http://schemas.microsoft.com/office/drawing/2014/main" id="{02DDBC6D-21F9-4DB1-8C1B-4371EF0371E0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9" name="$B$5">
            <a:extLst>
              <a:ext uri="{FF2B5EF4-FFF2-40B4-BE49-F238E27FC236}">
                <a16:creationId xmlns:a16="http://schemas.microsoft.com/office/drawing/2014/main" id="{1EC1B7A9-F385-4E25-B68F-56FDF82B7FC1}"/>
              </a:ext>
            </a:extLst>
          </xdr:cNvPr>
          <xdr:cNvSpPr/>
        </xdr:nvSpPr>
        <xdr:spPr>
          <a:xfrm>
            <a:off x="1193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323452</xdr:colOff>
      <xdr:row>5</xdr:row>
      <xdr:rowOff>0</xdr:rowOff>
    </xdr:from>
    <xdr:to>
      <xdr:col>1</xdr:col>
      <xdr:colOff>2084468</xdr:colOff>
      <xdr:row>6</xdr:row>
      <xdr:rowOff>0</xdr:rowOff>
    </xdr:to>
    <xdr:grpSp>
      <xdr:nvGrpSpPr>
        <xdr:cNvPr id="45549" name="$B$6" descr="Linear barcode, 67 modules" title="1113112123132111231111113211321132111411111">
          <a:extLst>
            <a:ext uri="{FF2B5EF4-FFF2-40B4-BE49-F238E27FC236}">
              <a16:creationId xmlns:a16="http://schemas.microsoft.com/office/drawing/2014/main" id="{281B1D86-9D29-49D5-8BE6-D95AF5D59B48}"/>
            </a:ext>
          </a:extLst>
        </xdr:cNvPr>
        <xdr:cNvGrpSpPr>
          <a:grpSpLocks noChangeAspect="1"/>
        </xdr:cNvGrpSpPr>
      </xdr:nvGrpSpPr>
      <xdr:grpSpPr>
        <a:xfrm>
          <a:off x="1291192" y="3665220"/>
          <a:ext cx="1761016" cy="266700"/>
          <a:chOff x="0" y="12700"/>
          <a:chExt cx="850900" cy="12700"/>
        </a:xfrm>
        <a:solidFill>
          <a:srgbClr val="000000"/>
        </a:solidFill>
      </xdr:grpSpPr>
      <xdr:sp macro="" textlink="">
        <xdr:nvSpPr>
          <xdr:cNvPr id="45527" name="$B$6">
            <a:extLst>
              <a:ext uri="{FF2B5EF4-FFF2-40B4-BE49-F238E27FC236}">
                <a16:creationId xmlns:a16="http://schemas.microsoft.com/office/drawing/2014/main" id="{8749316F-ED2B-4541-A6D4-3B5E3B29AF8D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28" name="$B$6">
            <a:extLst>
              <a:ext uri="{FF2B5EF4-FFF2-40B4-BE49-F238E27FC236}">
                <a16:creationId xmlns:a16="http://schemas.microsoft.com/office/drawing/2014/main" id="{90DCC8A2-E722-4992-9CFD-BB14C825F49A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29" name="$B$6">
            <a:extLst>
              <a:ext uri="{FF2B5EF4-FFF2-40B4-BE49-F238E27FC236}">
                <a16:creationId xmlns:a16="http://schemas.microsoft.com/office/drawing/2014/main" id="{BC4DA52F-F8C2-4AF5-AB9D-4B71A31657A4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0" name="$B$6">
            <a:extLst>
              <a:ext uri="{FF2B5EF4-FFF2-40B4-BE49-F238E27FC236}">
                <a16:creationId xmlns:a16="http://schemas.microsoft.com/office/drawing/2014/main" id="{B46DF99A-D9B9-4FB3-BEC5-89A47E4B5B3A}"/>
              </a:ext>
            </a:extLst>
          </xdr:cNvPr>
          <xdr:cNvSpPr/>
        </xdr:nvSpPr>
        <xdr:spPr>
          <a:xfrm>
            <a:off x="101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1" name="$B$6">
            <a:extLst>
              <a:ext uri="{FF2B5EF4-FFF2-40B4-BE49-F238E27FC236}">
                <a16:creationId xmlns:a16="http://schemas.microsoft.com/office/drawing/2014/main" id="{D65EE443-6452-4E2F-B1C5-F22B35F3FB18}"/>
              </a:ext>
            </a:extLst>
          </xdr:cNvPr>
          <xdr:cNvSpPr/>
        </xdr:nvSpPr>
        <xdr:spPr>
          <a:xfrm>
            <a:off x="1397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2" name="$B$6">
            <a:extLst>
              <a:ext uri="{FF2B5EF4-FFF2-40B4-BE49-F238E27FC236}">
                <a16:creationId xmlns:a16="http://schemas.microsoft.com/office/drawing/2014/main" id="{A4C0662D-373F-44E6-8F2C-75AAE88EB5D7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3" name="$B$6">
            <a:extLst>
              <a:ext uri="{FF2B5EF4-FFF2-40B4-BE49-F238E27FC236}">
                <a16:creationId xmlns:a16="http://schemas.microsoft.com/office/drawing/2014/main" id="{6905AE6F-1636-479A-B38F-A1B726102A01}"/>
              </a:ext>
            </a:extLst>
          </xdr:cNvPr>
          <xdr:cNvSpPr/>
        </xdr:nvSpPr>
        <xdr:spPr>
          <a:xfrm>
            <a:off x="254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4" name="$B$6">
            <a:extLst>
              <a:ext uri="{FF2B5EF4-FFF2-40B4-BE49-F238E27FC236}">
                <a16:creationId xmlns:a16="http://schemas.microsoft.com/office/drawing/2014/main" id="{082A60AC-744F-41C1-BC83-12E42E95A377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5" name="$B$6">
            <a:extLst>
              <a:ext uri="{FF2B5EF4-FFF2-40B4-BE49-F238E27FC236}">
                <a16:creationId xmlns:a16="http://schemas.microsoft.com/office/drawing/2014/main" id="{B29CFF3C-11F8-4CCA-B814-E4484A376997}"/>
              </a:ext>
            </a:extLst>
          </xdr:cNvPr>
          <xdr:cNvSpPr/>
        </xdr:nvSpPr>
        <xdr:spPr>
          <a:xfrm>
            <a:off x="317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6" name="$B$6">
            <a:extLst>
              <a:ext uri="{FF2B5EF4-FFF2-40B4-BE49-F238E27FC236}">
                <a16:creationId xmlns:a16="http://schemas.microsoft.com/office/drawing/2014/main" id="{B08F596A-61F8-47EA-B2D2-92915DDEFA03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7" name="$B$6">
            <a:extLst>
              <a:ext uri="{FF2B5EF4-FFF2-40B4-BE49-F238E27FC236}">
                <a16:creationId xmlns:a16="http://schemas.microsoft.com/office/drawing/2014/main" id="{FC94E69B-017B-482B-A46E-54BDCF8D30E3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8" name="$B$6">
            <a:extLst>
              <a:ext uri="{FF2B5EF4-FFF2-40B4-BE49-F238E27FC236}">
                <a16:creationId xmlns:a16="http://schemas.microsoft.com/office/drawing/2014/main" id="{650CA091-405F-4AC1-8205-BF4551878DE9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9" name="$B$6">
            <a:extLst>
              <a:ext uri="{FF2B5EF4-FFF2-40B4-BE49-F238E27FC236}">
                <a16:creationId xmlns:a16="http://schemas.microsoft.com/office/drawing/2014/main" id="{DDA4FB23-1674-4CFE-9384-E20E5D8E2372}"/>
              </a:ext>
            </a:extLst>
          </xdr:cNvPr>
          <xdr:cNvSpPr/>
        </xdr:nvSpPr>
        <xdr:spPr>
          <a:xfrm>
            <a:off x="4572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40" name="$B$6">
            <a:extLst>
              <a:ext uri="{FF2B5EF4-FFF2-40B4-BE49-F238E27FC236}">
                <a16:creationId xmlns:a16="http://schemas.microsoft.com/office/drawing/2014/main" id="{48E25F5A-4066-443E-9305-3C3B65B66C87}"/>
              </a:ext>
            </a:extLst>
          </xdr:cNvPr>
          <xdr:cNvSpPr/>
        </xdr:nvSpPr>
        <xdr:spPr>
          <a:xfrm>
            <a:off x="520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41" name="$B$6">
            <a:extLst>
              <a:ext uri="{FF2B5EF4-FFF2-40B4-BE49-F238E27FC236}">
                <a16:creationId xmlns:a16="http://schemas.microsoft.com/office/drawing/2014/main" id="{DAEE42F8-555D-4815-A9F6-896053C082EB}"/>
              </a:ext>
            </a:extLst>
          </xdr:cNvPr>
          <xdr:cNvSpPr/>
        </xdr:nvSpPr>
        <xdr:spPr>
          <a:xfrm>
            <a:off x="5461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42" name="$B$6">
            <a:extLst>
              <a:ext uri="{FF2B5EF4-FFF2-40B4-BE49-F238E27FC236}">
                <a16:creationId xmlns:a16="http://schemas.microsoft.com/office/drawing/2014/main" id="{3E391213-E8E4-4951-B6FB-E7C303F36D35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43" name="$B$6">
            <a:extLst>
              <a:ext uri="{FF2B5EF4-FFF2-40B4-BE49-F238E27FC236}">
                <a16:creationId xmlns:a16="http://schemas.microsoft.com/office/drawing/2014/main" id="{77B5B1F7-258D-4BC1-94C7-5777EA49F3AA}"/>
              </a:ext>
            </a:extLst>
          </xdr:cNvPr>
          <xdr:cNvSpPr/>
        </xdr:nvSpPr>
        <xdr:spPr>
          <a:xfrm>
            <a:off x="6350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44" name="$B$6">
            <a:extLst>
              <a:ext uri="{FF2B5EF4-FFF2-40B4-BE49-F238E27FC236}">
                <a16:creationId xmlns:a16="http://schemas.microsoft.com/office/drawing/2014/main" id="{C967DCAF-E154-41FD-8147-0EF52ED9A679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45" name="$B$6">
            <a:extLst>
              <a:ext uri="{FF2B5EF4-FFF2-40B4-BE49-F238E27FC236}">
                <a16:creationId xmlns:a16="http://schemas.microsoft.com/office/drawing/2014/main" id="{9A6B7B21-7608-4D49-89B9-3CA1C284EA27}"/>
              </a:ext>
            </a:extLst>
          </xdr:cNvPr>
          <xdr:cNvSpPr/>
        </xdr:nvSpPr>
        <xdr:spPr>
          <a:xfrm>
            <a:off x="723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46" name="$B$6">
            <a:extLst>
              <a:ext uri="{FF2B5EF4-FFF2-40B4-BE49-F238E27FC236}">
                <a16:creationId xmlns:a16="http://schemas.microsoft.com/office/drawing/2014/main" id="{F5D8C0FF-1D5F-43A5-B49E-7DA9B4FA94AF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47" name="$B$6">
            <a:extLst>
              <a:ext uri="{FF2B5EF4-FFF2-40B4-BE49-F238E27FC236}">
                <a16:creationId xmlns:a16="http://schemas.microsoft.com/office/drawing/2014/main" id="{DB94088B-D817-430F-B264-F2E0B2C42E1E}"/>
              </a:ext>
            </a:extLst>
          </xdr:cNvPr>
          <xdr:cNvSpPr/>
        </xdr:nvSpPr>
        <xdr:spPr>
          <a:xfrm>
            <a:off x="812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48" name="$B$6">
            <a:extLst>
              <a:ext uri="{FF2B5EF4-FFF2-40B4-BE49-F238E27FC236}">
                <a16:creationId xmlns:a16="http://schemas.microsoft.com/office/drawing/2014/main" id="{4E04B3F1-4113-4A1B-93FB-766C45A86563}"/>
              </a:ext>
            </a:extLst>
          </xdr:cNvPr>
          <xdr:cNvSpPr/>
        </xdr:nvSpPr>
        <xdr:spPr>
          <a:xfrm>
            <a:off x="838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461091</xdr:colOff>
      <xdr:row>6</xdr:row>
      <xdr:rowOff>0</xdr:rowOff>
    </xdr:from>
    <xdr:to>
      <xdr:col>1</xdr:col>
      <xdr:colOff>1946829</xdr:colOff>
      <xdr:row>7</xdr:row>
      <xdr:rowOff>0</xdr:rowOff>
    </xdr:to>
    <xdr:grpSp>
      <xdr:nvGrpSpPr>
        <xdr:cNvPr id="45566" name="$B$7" descr="Linear barcode, 47 modules" title="1121231111132112311113112111321">
          <a:extLst>
            <a:ext uri="{FF2B5EF4-FFF2-40B4-BE49-F238E27FC236}">
              <a16:creationId xmlns:a16="http://schemas.microsoft.com/office/drawing/2014/main" id="{03ACAF59-5728-4562-B83A-85B395B868B3}"/>
            </a:ext>
          </a:extLst>
        </xdr:cNvPr>
        <xdr:cNvGrpSpPr>
          <a:grpSpLocks noChangeAspect="1"/>
        </xdr:cNvGrpSpPr>
      </xdr:nvGrpSpPr>
      <xdr:grpSpPr>
        <a:xfrm>
          <a:off x="1428831" y="3931920"/>
          <a:ext cx="1485738" cy="266700"/>
          <a:chOff x="0" y="12700"/>
          <a:chExt cx="596900" cy="12700"/>
        </a:xfrm>
        <a:solidFill>
          <a:srgbClr val="000000"/>
        </a:solidFill>
      </xdr:grpSpPr>
      <xdr:sp macro="" textlink="">
        <xdr:nvSpPr>
          <xdr:cNvPr id="45550" name="$B$7">
            <a:extLst>
              <a:ext uri="{FF2B5EF4-FFF2-40B4-BE49-F238E27FC236}">
                <a16:creationId xmlns:a16="http://schemas.microsoft.com/office/drawing/2014/main" id="{F2C612DC-FDB6-4ACA-BE94-29A4853E6E17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51" name="$B$7">
            <a:extLst>
              <a:ext uri="{FF2B5EF4-FFF2-40B4-BE49-F238E27FC236}">
                <a16:creationId xmlns:a16="http://schemas.microsoft.com/office/drawing/2014/main" id="{0B1C277A-B246-4B82-BA9F-F5A2F21B0E97}"/>
              </a:ext>
            </a:extLst>
          </xdr:cNvPr>
          <xdr:cNvSpPr/>
        </xdr:nvSpPr>
        <xdr:spPr>
          <a:xfrm>
            <a:off x="25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52" name="$B$7">
            <a:extLst>
              <a:ext uri="{FF2B5EF4-FFF2-40B4-BE49-F238E27FC236}">
                <a16:creationId xmlns:a16="http://schemas.microsoft.com/office/drawing/2014/main" id="{CD7FDFDA-D113-48FA-A333-093FFE9E33E2}"/>
              </a:ext>
            </a:extLst>
          </xdr:cNvPr>
          <xdr:cNvSpPr/>
        </xdr:nvSpPr>
        <xdr:spPr>
          <a:xfrm>
            <a:off x="63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53" name="$B$7">
            <a:extLst>
              <a:ext uri="{FF2B5EF4-FFF2-40B4-BE49-F238E27FC236}">
                <a16:creationId xmlns:a16="http://schemas.microsoft.com/office/drawing/2014/main" id="{5E7D5CE7-04B9-4349-8C04-9066E16E1F05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54" name="$B$7">
            <a:extLst>
              <a:ext uri="{FF2B5EF4-FFF2-40B4-BE49-F238E27FC236}">
                <a16:creationId xmlns:a16="http://schemas.microsoft.com/office/drawing/2014/main" id="{AA2FB175-08A4-44EA-B8B0-844CFE419A7F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55" name="$B$7">
            <a:extLst>
              <a:ext uri="{FF2B5EF4-FFF2-40B4-BE49-F238E27FC236}">
                <a16:creationId xmlns:a16="http://schemas.microsoft.com/office/drawing/2014/main" id="{65FAE852-9963-4E7A-983D-758BF46D5006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56" name="$B$7">
            <a:extLst>
              <a:ext uri="{FF2B5EF4-FFF2-40B4-BE49-F238E27FC236}">
                <a16:creationId xmlns:a16="http://schemas.microsoft.com/office/drawing/2014/main" id="{8198E60C-A0EF-4173-866B-ED172D85B4D9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57" name="$B$7">
            <a:extLst>
              <a:ext uri="{FF2B5EF4-FFF2-40B4-BE49-F238E27FC236}">
                <a16:creationId xmlns:a16="http://schemas.microsoft.com/office/drawing/2014/main" id="{2B01943C-FC36-4C9B-8FB2-5652C577D992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58" name="$B$7">
            <a:extLst>
              <a:ext uri="{FF2B5EF4-FFF2-40B4-BE49-F238E27FC236}">
                <a16:creationId xmlns:a16="http://schemas.microsoft.com/office/drawing/2014/main" id="{528A116A-1AAB-4CB1-8125-5BBED3487438}"/>
              </a:ext>
            </a:extLst>
          </xdr:cNvPr>
          <xdr:cNvSpPr/>
        </xdr:nvSpPr>
        <xdr:spPr>
          <a:xfrm>
            <a:off x="304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59" name="$B$7">
            <a:extLst>
              <a:ext uri="{FF2B5EF4-FFF2-40B4-BE49-F238E27FC236}">
                <a16:creationId xmlns:a16="http://schemas.microsoft.com/office/drawing/2014/main" id="{FE485864-0759-458E-9056-0CF83F9D8F1B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60" name="$B$7">
            <a:extLst>
              <a:ext uri="{FF2B5EF4-FFF2-40B4-BE49-F238E27FC236}">
                <a16:creationId xmlns:a16="http://schemas.microsoft.com/office/drawing/2014/main" id="{E83D1350-61DF-462F-A221-483B1EA00FF0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61" name="$B$7">
            <a:extLst>
              <a:ext uri="{FF2B5EF4-FFF2-40B4-BE49-F238E27FC236}">
                <a16:creationId xmlns:a16="http://schemas.microsoft.com/office/drawing/2014/main" id="{8859C406-1B30-45F7-99CE-D6B98F797D14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62" name="$B$7">
            <a:extLst>
              <a:ext uri="{FF2B5EF4-FFF2-40B4-BE49-F238E27FC236}">
                <a16:creationId xmlns:a16="http://schemas.microsoft.com/office/drawing/2014/main" id="{CA726D35-0EFE-4EA2-90C4-22E3946C8B26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63" name="$B$7">
            <a:extLst>
              <a:ext uri="{FF2B5EF4-FFF2-40B4-BE49-F238E27FC236}">
                <a16:creationId xmlns:a16="http://schemas.microsoft.com/office/drawing/2014/main" id="{E588DCC1-F3FE-453D-9807-F4DDE4506624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64" name="$B$7">
            <a:extLst>
              <a:ext uri="{FF2B5EF4-FFF2-40B4-BE49-F238E27FC236}">
                <a16:creationId xmlns:a16="http://schemas.microsoft.com/office/drawing/2014/main" id="{AF583A2F-65B1-44E5-AFF0-F6F3DEEDD74E}"/>
              </a:ext>
            </a:extLst>
          </xdr:cNvPr>
          <xdr:cNvSpPr/>
        </xdr:nvSpPr>
        <xdr:spPr>
          <a:xfrm>
            <a:off x="5207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65" name="$B$7">
            <a:extLst>
              <a:ext uri="{FF2B5EF4-FFF2-40B4-BE49-F238E27FC236}">
                <a16:creationId xmlns:a16="http://schemas.microsoft.com/office/drawing/2014/main" id="{56F92B39-05F8-4DEA-BFBE-DA206499CE92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1083564</xdr:colOff>
      <xdr:row>7</xdr:row>
      <xdr:rowOff>0</xdr:rowOff>
    </xdr:from>
    <xdr:to>
      <xdr:col>1</xdr:col>
      <xdr:colOff>1324356</xdr:colOff>
      <xdr:row>8</xdr:row>
      <xdr:rowOff>0</xdr:rowOff>
    </xdr:to>
    <xdr:grpSp>
      <xdr:nvGrpSpPr>
        <xdr:cNvPr id="45574" name="$B$8" descr="Linear barcode, 20 modules" title="1123211111321">
          <a:extLst>
            <a:ext uri="{FF2B5EF4-FFF2-40B4-BE49-F238E27FC236}">
              <a16:creationId xmlns:a16="http://schemas.microsoft.com/office/drawing/2014/main" id="{648ED652-3A6F-4C97-A2A4-FAFF8F33435F}"/>
            </a:ext>
          </a:extLst>
        </xdr:cNvPr>
        <xdr:cNvGrpSpPr>
          <a:grpSpLocks noChangeAspect="1"/>
        </xdr:cNvGrpSpPr>
      </xdr:nvGrpSpPr>
      <xdr:grpSpPr>
        <a:xfrm>
          <a:off x="2051304" y="4198620"/>
          <a:ext cx="240792" cy="266700"/>
          <a:chOff x="0" y="12700"/>
          <a:chExt cx="254000" cy="12700"/>
        </a:xfrm>
        <a:solidFill>
          <a:srgbClr val="000000"/>
        </a:solidFill>
      </xdr:grpSpPr>
      <xdr:sp macro="" textlink="">
        <xdr:nvSpPr>
          <xdr:cNvPr id="45567" name="$B$8">
            <a:extLst>
              <a:ext uri="{FF2B5EF4-FFF2-40B4-BE49-F238E27FC236}">
                <a16:creationId xmlns:a16="http://schemas.microsoft.com/office/drawing/2014/main" id="{32345511-1285-43A0-B1B9-85F8490F176F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68" name="$B$8">
            <a:extLst>
              <a:ext uri="{FF2B5EF4-FFF2-40B4-BE49-F238E27FC236}">
                <a16:creationId xmlns:a16="http://schemas.microsoft.com/office/drawing/2014/main" id="{0800E253-2718-4E90-A7E6-AB53868CC541}"/>
              </a:ext>
            </a:extLst>
          </xdr:cNvPr>
          <xdr:cNvSpPr/>
        </xdr:nvSpPr>
        <xdr:spPr>
          <a:xfrm>
            <a:off x="25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69" name="$B$8">
            <a:extLst>
              <a:ext uri="{FF2B5EF4-FFF2-40B4-BE49-F238E27FC236}">
                <a16:creationId xmlns:a16="http://schemas.microsoft.com/office/drawing/2014/main" id="{5CBF402E-D561-47AD-A407-DB608F9C196F}"/>
              </a:ext>
            </a:extLst>
          </xdr:cNvPr>
          <xdr:cNvSpPr/>
        </xdr:nvSpPr>
        <xdr:spPr>
          <a:xfrm>
            <a:off x="889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70" name="$B$8">
            <a:extLst>
              <a:ext uri="{FF2B5EF4-FFF2-40B4-BE49-F238E27FC236}">
                <a16:creationId xmlns:a16="http://schemas.microsoft.com/office/drawing/2014/main" id="{FB661EA7-50C7-4173-83C6-4EEDEB346FE5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71" name="$B$8">
            <a:extLst>
              <a:ext uri="{FF2B5EF4-FFF2-40B4-BE49-F238E27FC236}">
                <a16:creationId xmlns:a16="http://schemas.microsoft.com/office/drawing/2014/main" id="{40D9BD33-DE44-4033-9CDC-E03464D09AE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72" name="$B$8">
            <a:extLst>
              <a:ext uri="{FF2B5EF4-FFF2-40B4-BE49-F238E27FC236}">
                <a16:creationId xmlns:a16="http://schemas.microsoft.com/office/drawing/2014/main" id="{E1F2C41F-9B07-4E25-8A3B-A8B8D264C60F}"/>
              </a:ext>
            </a:extLst>
          </xdr:cNvPr>
          <xdr:cNvSpPr/>
        </xdr:nvSpPr>
        <xdr:spPr>
          <a:xfrm>
            <a:off x="177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73" name="$B$8">
            <a:extLst>
              <a:ext uri="{FF2B5EF4-FFF2-40B4-BE49-F238E27FC236}">
                <a16:creationId xmlns:a16="http://schemas.microsoft.com/office/drawing/2014/main" id="{BF22866A-ADEE-47BC-A926-6EF421F4FDD2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333405</xdr:colOff>
      <xdr:row>8</xdr:row>
      <xdr:rowOff>0</xdr:rowOff>
    </xdr:from>
    <xdr:to>
      <xdr:col>1</xdr:col>
      <xdr:colOff>2074516</xdr:colOff>
      <xdr:row>9</xdr:row>
      <xdr:rowOff>0</xdr:rowOff>
    </xdr:to>
    <xdr:grpSp>
      <xdr:nvGrpSpPr>
        <xdr:cNvPr id="45600" name="$B$9" descr="Linear barcode, 65 modules" title="12112121112111121121112112112121211211111211212111">
          <a:extLst>
            <a:ext uri="{FF2B5EF4-FFF2-40B4-BE49-F238E27FC236}">
              <a16:creationId xmlns:a16="http://schemas.microsoft.com/office/drawing/2014/main" id="{A5C5E5CC-540E-496A-BBB3-4C1A44898712}"/>
            </a:ext>
          </a:extLst>
        </xdr:cNvPr>
        <xdr:cNvGrpSpPr>
          <a:grpSpLocks noChangeAspect="1"/>
        </xdr:cNvGrpSpPr>
      </xdr:nvGrpSpPr>
      <xdr:grpSpPr>
        <a:xfrm>
          <a:off x="1301145" y="4465320"/>
          <a:ext cx="1741111" cy="266700"/>
          <a:chOff x="0" y="12700"/>
          <a:chExt cx="812800" cy="12700"/>
        </a:xfrm>
        <a:solidFill>
          <a:srgbClr val="000000"/>
        </a:solidFill>
      </xdr:grpSpPr>
      <xdr:sp macro="" textlink="">
        <xdr:nvSpPr>
          <xdr:cNvPr id="45575" name="$B$9">
            <a:extLst>
              <a:ext uri="{FF2B5EF4-FFF2-40B4-BE49-F238E27FC236}">
                <a16:creationId xmlns:a16="http://schemas.microsoft.com/office/drawing/2014/main" id="{61A16142-CD97-450C-AC45-50B78EB16622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76" name="$B$9">
            <a:extLst>
              <a:ext uri="{FF2B5EF4-FFF2-40B4-BE49-F238E27FC236}">
                <a16:creationId xmlns:a16="http://schemas.microsoft.com/office/drawing/2014/main" id="{54671A5C-67F8-4B0F-AB88-BF04192B2F89}"/>
              </a:ext>
            </a:extLst>
          </xdr:cNvPr>
          <xdr:cNvSpPr/>
        </xdr:nvSpPr>
        <xdr:spPr>
          <a:xfrm>
            <a:off x="38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77" name="$B$9">
            <a:extLst>
              <a:ext uri="{FF2B5EF4-FFF2-40B4-BE49-F238E27FC236}">
                <a16:creationId xmlns:a16="http://schemas.microsoft.com/office/drawing/2014/main" id="{8FA68ABA-309C-4A79-B575-4AA44BA75B7C}"/>
              </a:ext>
            </a:extLst>
          </xdr:cNvPr>
          <xdr:cNvSpPr/>
        </xdr:nvSpPr>
        <xdr:spPr>
          <a:xfrm>
            <a:off x="63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78" name="$B$9">
            <a:extLst>
              <a:ext uri="{FF2B5EF4-FFF2-40B4-BE49-F238E27FC236}">
                <a16:creationId xmlns:a16="http://schemas.microsoft.com/office/drawing/2014/main" id="{81253D0B-9E96-4BB3-96EE-74C3BEAFDD2B}"/>
              </a:ext>
            </a:extLst>
          </xdr:cNvPr>
          <xdr:cNvSpPr/>
        </xdr:nvSpPr>
        <xdr:spPr>
          <a:xfrm>
            <a:off x="101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79" name="$B$9">
            <a:extLst>
              <a:ext uri="{FF2B5EF4-FFF2-40B4-BE49-F238E27FC236}">
                <a16:creationId xmlns:a16="http://schemas.microsoft.com/office/drawing/2014/main" id="{75147689-EF0D-44AA-8AC7-AF8CCF60952B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0" name="$B$9">
            <a:extLst>
              <a:ext uri="{FF2B5EF4-FFF2-40B4-BE49-F238E27FC236}">
                <a16:creationId xmlns:a16="http://schemas.microsoft.com/office/drawing/2014/main" id="{62888BD6-176F-45AF-B11C-E7799CB352BF}"/>
              </a:ext>
            </a:extLst>
          </xdr:cNvPr>
          <xdr:cNvSpPr/>
        </xdr:nvSpPr>
        <xdr:spPr>
          <a:xfrm>
            <a:off x="1651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1" name="$B$9">
            <a:extLst>
              <a:ext uri="{FF2B5EF4-FFF2-40B4-BE49-F238E27FC236}">
                <a16:creationId xmlns:a16="http://schemas.microsoft.com/office/drawing/2014/main" id="{99E5AD3A-E83E-4B7E-A18B-E578B5819CCE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2" name="$B$9">
            <a:extLst>
              <a:ext uri="{FF2B5EF4-FFF2-40B4-BE49-F238E27FC236}">
                <a16:creationId xmlns:a16="http://schemas.microsoft.com/office/drawing/2014/main" id="{EB3DCE32-6E83-4028-B5E8-A432A2744971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3" name="$B$9">
            <a:extLst>
              <a:ext uri="{FF2B5EF4-FFF2-40B4-BE49-F238E27FC236}">
                <a16:creationId xmlns:a16="http://schemas.microsoft.com/office/drawing/2014/main" id="{BA81F70F-6293-4FA0-A746-F0710DA2441F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4" name="$B$9">
            <a:extLst>
              <a:ext uri="{FF2B5EF4-FFF2-40B4-BE49-F238E27FC236}">
                <a16:creationId xmlns:a16="http://schemas.microsoft.com/office/drawing/2014/main" id="{B182AD4D-C327-4177-B24C-A9405EE036BA}"/>
              </a:ext>
            </a:extLst>
          </xdr:cNvPr>
          <xdr:cNvSpPr/>
        </xdr:nvSpPr>
        <xdr:spPr>
          <a:xfrm>
            <a:off x="2921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5" name="$B$9">
            <a:extLst>
              <a:ext uri="{FF2B5EF4-FFF2-40B4-BE49-F238E27FC236}">
                <a16:creationId xmlns:a16="http://schemas.microsoft.com/office/drawing/2014/main" id="{CC9B92F7-DD92-4FE4-A77D-70652CF15BAB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6" name="$B$9">
            <a:extLst>
              <a:ext uri="{FF2B5EF4-FFF2-40B4-BE49-F238E27FC236}">
                <a16:creationId xmlns:a16="http://schemas.microsoft.com/office/drawing/2014/main" id="{497FFA31-793C-4356-84F3-A97E22DA6953}"/>
              </a:ext>
            </a:extLst>
          </xdr:cNvPr>
          <xdr:cNvSpPr/>
        </xdr:nvSpPr>
        <xdr:spPr>
          <a:xfrm>
            <a:off x="355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7" name="$B$9">
            <a:extLst>
              <a:ext uri="{FF2B5EF4-FFF2-40B4-BE49-F238E27FC236}">
                <a16:creationId xmlns:a16="http://schemas.microsoft.com/office/drawing/2014/main" id="{0015FA27-7956-47CC-822F-517A94511884}"/>
              </a:ext>
            </a:extLst>
          </xdr:cNvPr>
          <xdr:cNvSpPr/>
        </xdr:nvSpPr>
        <xdr:spPr>
          <a:xfrm>
            <a:off x="393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8" name="$B$9">
            <a:extLst>
              <a:ext uri="{FF2B5EF4-FFF2-40B4-BE49-F238E27FC236}">
                <a16:creationId xmlns:a16="http://schemas.microsoft.com/office/drawing/2014/main" id="{09A57CF0-85BF-4460-BC0F-8BCE01CD4EFA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9" name="$B$9">
            <a:extLst>
              <a:ext uri="{FF2B5EF4-FFF2-40B4-BE49-F238E27FC236}">
                <a16:creationId xmlns:a16="http://schemas.microsoft.com/office/drawing/2014/main" id="{4B9B4B44-A8EC-4C2F-B702-EB2592B81BB4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0" name="$B$9">
            <a:extLst>
              <a:ext uri="{FF2B5EF4-FFF2-40B4-BE49-F238E27FC236}">
                <a16:creationId xmlns:a16="http://schemas.microsoft.com/office/drawing/2014/main" id="{3815C19A-B3DA-4C3B-B681-DF671F3413C5}"/>
              </a:ext>
            </a:extLst>
          </xdr:cNvPr>
          <xdr:cNvSpPr/>
        </xdr:nvSpPr>
        <xdr:spPr>
          <a:xfrm>
            <a:off x="4953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1" name="$B$9">
            <a:extLst>
              <a:ext uri="{FF2B5EF4-FFF2-40B4-BE49-F238E27FC236}">
                <a16:creationId xmlns:a16="http://schemas.microsoft.com/office/drawing/2014/main" id="{E86CCDF5-D25E-46ED-9599-9FC9C6508BDB}"/>
              </a:ext>
            </a:extLst>
          </xdr:cNvPr>
          <xdr:cNvSpPr/>
        </xdr:nvSpPr>
        <xdr:spPr>
          <a:xfrm>
            <a:off x="533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2" name="$B$9">
            <a:extLst>
              <a:ext uri="{FF2B5EF4-FFF2-40B4-BE49-F238E27FC236}">
                <a16:creationId xmlns:a16="http://schemas.microsoft.com/office/drawing/2014/main" id="{891BAA56-35C8-4899-A199-23250A954F95}"/>
              </a:ext>
            </a:extLst>
          </xdr:cNvPr>
          <xdr:cNvSpPr/>
        </xdr:nvSpPr>
        <xdr:spPr>
          <a:xfrm>
            <a:off x="571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3" name="$B$9">
            <a:extLst>
              <a:ext uri="{FF2B5EF4-FFF2-40B4-BE49-F238E27FC236}">
                <a16:creationId xmlns:a16="http://schemas.microsoft.com/office/drawing/2014/main" id="{C94765D9-A657-42C6-A566-150B0A668215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4" name="$B$9">
            <a:extLst>
              <a:ext uri="{FF2B5EF4-FFF2-40B4-BE49-F238E27FC236}">
                <a16:creationId xmlns:a16="http://schemas.microsoft.com/office/drawing/2014/main" id="{6524562B-E220-4658-87AE-3CA9E79FA78C}"/>
              </a:ext>
            </a:extLst>
          </xdr:cNvPr>
          <xdr:cNvSpPr/>
        </xdr:nvSpPr>
        <xdr:spPr>
          <a:xfrm>
            <a:off x="635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5" name="$B$9">
            <a:extLst>
              <a:ext uri="{FF2B5EF4-FFF2-40B4-BE49-F238E27FC236}">
                <a16:creationId xmlns:a16="http://schemas.microsoft.com/office/drawing/2014/main" id="{A6372442-00BB-48F3-AAFD-F90DADD5C1F0}"/>
              </a:ext>
            </a:extLst>
          </xdr:cNvPr>
          <xdr:cNvSpPr/>
        </xdr:nvSpPr>
        <xdr:spPr>
          <a:xfrm>
            <a:off x="660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6" name="$B$9">
            <a:extLst>
              <a:ext uri="{FF2B5EF4-FFF2-40B4-BE49-F238E27FC236}">
                <a16:creationId xmlns:a16="http://schemas.microsoft.com/office/drawing/2014/main" id="{9D171DD4-519C-4F36-BDDC-BB908F04B3FF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7" name="$B$9">
            <a:extLst>
              <a:ext uri="{FF2B5EF4-FFF2-40B4-BE49-F238E27FC236}">
                <a16:creationId xmlns:a16="http://schemas.microsoft.com/office/drawing/2014/main" id="{2A1F0149-00A1-45B2-A3B7-906FB132F6E4}"/>
              </a:ext>
            </a:extLst>
          </xdr:cNvPr>
          <xdr:cNvSpPr/>
        </xdr:nvSpPr>
        <xdr:spPr>
          <a:xfrm>
            <a:off x="7239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8" name="$B$9">
            <a:extLst>
              <a:ext uri="{FF2B5EF4-FFF2-40B4-BE49-F238E27FC236}">
                <a16:creationId xmlns:a16="http://schemas.microsoft.com/office/drawing/2014/main" id="{F367EBB0-171E-47DF-BFBC-C54AF7109026}"/>
              </a:ext>
            </a:extLst>
          </xdr:cNvPr>
          <xdr:cNvSpPr/>
        </xdr:nvSpPr>
        <xdr:spPr>
          <a:xfrm>
            <a:off x="762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9" name="$B$9">
            <a:extLst>
              <a:ext uri="{FF2B5EF4-FFF2-40B4-BE49-F238E27FC236}">
                <a16:creationId xmlns:a16="http://schemas.microsoft.com/office/drawing/2014/main" id="{ADBF9347-F649-4757-AFDC-D259426D5656}"/>
              </a:ext>
            </a:extLst>
          </xdr:cNvPr>
          <xdr:cNvSpPr/>
        </xdr:nvSpPr>
        <xdr:spPr>
          <a:xfrm>
            <a:off x="800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309589</xdr:colOff>
      <xdr:row>9</xdr:row>
      <xdr:rowOff>0</xdr:rowOff>
    </xdr:from>
    <xdr:to>
      <xdr:col>1</xdr:col>
      <xdr:colOff>2098330</xdr:colOff>
      <xdr:row>10</xdr:row>
      <xdr:rowOff>0</xdr:rowOff>
    </xdr:to>
    <xdr:grpSp>
      <xdr:nvGrpSpPr>
        <xdr:cNvPr id="45628" name="$B$10" descr="Linear barcode, 70 modules" title="11221111112121112112112122111111212121211112112111221">
          <a:extLst>
            <a:ext uri="{FF2B5EF4-FFF2-40B4-BE49-F238E27FC236}">
              <a16:creationId xmlns:a16="http://schemas.microsoft.com/office/drawing/2014/main" id="{6B3FFBA0-D8F1-4188-BE62-DFA6E363A7F5}"/>
            </a:ext>
          </a:extLst>
        </xdr:cNvPr>
        <xdr:cNvGrpSpPr>
          <a:grpSpLocks noChangeAspect="1"/>
        </xdr:cNvGrpSpPr>
      </xdr:nvGrpSpPr>
      <xdr:grpSpPr>
        <a:xfrm>
          <a:off x="1277329" y="4732020"/>
          <a:ext cx="1788741" cy="266700"/>
          <a:chOff x="0" y="12700"/>
          <a:chExt cx="889000" cy="12700"/>
        </a:xfrm>
        <a:solidFill>
          <a:srgbClr val="000000"/>
        </a:solidFill>
      </xdr:grpSpPr>
      <xdr:sp macro="" textlink="">
        <xdr:nvSpPr>
          <xdr:cNvPr id="45601" name="$B$10">
            <a:extLst>
              <a:ext uri="{FF2B5EF4-FFF2-40B4-BE49-F238E27FC236}">
                <a16:creationId xmlns:a16="http://schemas.microsoft.com/office/drawing/2014/main" id="{08324F8C-4DF2-42F9-8F5E-8B1EAA3F9B5D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02" name="$B$10">
            <a:extLst>
              <a:ext uri="{FF2B5EF4-FFF2-40B4-BE49-F238E27FC236}">
                <a16:creationId xmlns:a16="http://schemas.microsoft.com/office/drawing/2014/main" id="{70077573-6738-42D9-8155-A2AD813703EB}"/>
              </a:ext>
            </a:extLst>
          </xdr:cNvPr>
          <xdr:cNvSpPr/>
        </xdr:nvSpPr>
        <xdr:spPr>
          <a:xfrm>
            <a:off x="25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03" name="$B$10">
            <a:extLst>
              <a:ext uri="{FF2B5EF4-FFF2-40B4-BE49-F238E27FC236}">
                <a16:creationId xmlns:a16="http://schemas.microsoft.com/office/drawing/2014/main" id="{5013BB59-E2F6-471B-A10E-7DFD5DE4D12A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04" name="$B$10">
            <a:extLst>
              <a:ext uri="{FF2B5EF4-FFF2-40B4-BE49-F238E27FC236}">
                <a16:creationId xmlns:a16="http://schemas.microsoft.com/office/drawing/2014/main" id="{7091F8EC-2891-453E-A88C-813C50BC322C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05" name="$B$10">
            <a:extLst>
              <a:ext uri="{FF2B5EF4-FFF2-40B4-BE49-F238E27FC236}">
                <a16:creationId xmlns:a16="http://schemas.microsoft.com/office/drawing/2014/main" id="{BB748C94-BA40-496A-9BEC-DEC5C2418FEE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06" name="$B$10">
            <a:extLst>
              <a:ext uri="{FF2B5EF4-FFF2-40B4-BE49-F238E27FC236}">
                <a16:creationId xmlns:a16="http://schemas.microsoft.com/office/drawing/2014/main" id="{954EFD53-3F86-42DC-857F-36E099B64BEC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07" name="$B$10">
            <a:extLst>
              <a:ext uri="{FF2B5EF4-FFF2-40B4-BE49-F238E27FC236}">
                <a16:creationId xmlns:a16="http://schemas.microsoft.com/office/drawing/2014/main" id="{47EB6398-4A14-4F5D-B493-3FFA2701F1EE}"/>
              </a:ext>
            </a:extLst>
          </xdr:cNvPr>
          <xdr:cNvSpPr/>
        </xdr:nvSpPr>
        <xdr:spPr>
          <a:xfrm>
            <a:off x="190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08" name="$B$10">
            <a:extLst>
              <a:ext uri="{FF2B5EF4-FFF2-40B4-BE49-F238E27FC236}">
                <a16:creationId xmlns:a16="http://schemas.microsoft.com/office/drawing/2014/main" id="{98F15637-C270-4055-BD97-A1C691495C3C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09" name="$B$10">
            <a:extLst>
              <a:ext uri="{FF2B5EF4-FFF2-40B4-BE49-F238E27FC236}">
                <a16:creationId xmlns:a16="http://schemas.microsoft.com/office/drawing/2014/main" id="{427EAD8A-3702-4F4A-A9EA-5102B50F79B2}"/>
              </a:ext>
            </a:extLst>
          </xdr:cNvPr>
          <xdr:cNvSpPr/>
        </xdr:nvSpPr>
        <xdr:spPr>
          <a:xfrm>
            <a:off x="254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0" name="$B$10">
            <a:extLst>
              <a:ext uri="{FF2B5EF4-FFF2-40B4-BE49-F238E27FC236}">
                <a16:creationId xmlns:a16="http://schemas.microsoft.com/office/drawing/2014/main" id="{A87E8782-E2AE-4A5A-A13C-EDA0F38386C3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1" name="$B$10">
            <a:extLst>
              <a:ext uri="{FF2B5EF4-FFF2-40B4-BE49-F238E27FC236}">
                <a16:creationId xmlns:a16="http://schemas.microsoft.com/office/drawing/2014/main" id="{1D706219-1206-49B6-8185-1FEFE331BCD7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2" name="$B$10">
            <a:extLst>
              <a:ext uri="{FF2B5EF4-FFF2-40B4-BE49-F238E27FC236}">
                <a16:creationId xmlns:a16="http://schemas.microsoft.com/office/drawing/2014/main" id="{FA0E8899-1782-4EBE-BFF1-08C4221FD4A3}"/>
              </a:ext>
            </a:extLst>
          </xdr:cNvPr>
          <xdr:cNvSpPr/>
        </xdr:nvSpPr>
        <xdr:spPr>
          <a:xfrm>
            <a:off x="355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3" name="$B$10">
            <a:extLst>
              <a:ext uri="{FF2B5EF4-FFF2-40B4-BE49-F238E27FC236}">
                <a16:creationId xmlns:a16="http://schemas.microsoft.com/office/drawing/2014/main" id="{36EB33CE-04E1-46D4-847A-AAEF389B366E}"/>
              </a:ext>
            </a:extLst>
          </xdr:cNvPr>
          <xdr:cNvSpPr/>
        </xdr:nvSpPr>
        <xdr:spPr>
          <a:xfrm>
            <a:off x="3937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4" name="$B$10">
            <a:extLst>
              <a:ext uri="{FF2B5EF4-FFF2-40B4-BE49-F238E27FC236}">
                <a16:creationId xmlns:a16="http://schemas.microsoft.com/office/drawing/2014/main" id="{C429D03C-BADA-4AC9-A8FD-8178486A175F}"/>
              </a:ext>
            </a:extLst>
          </xdr:cNvPr>
          <xdr:cNvSpPr/>
        </xdr:nvSpPr>
        <xdr:spPr>
          <a:xfrm>
            <a:off x="444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5" name="$B$10">
            <a:extLst>
              <a:ext uri="{FF2B5EF4-FFF2-40B4-BE49-F238E27FC236}">
                <a16:creationId xmlns:a16="http://schemas.microsoft.com/office/drawing/2014/main" id="{C35F3BB4-A151-4254-AD31-82682BE7F0BC}"/>
              </a:ext>
            </a:extLst>
          </xdr:cNvPr>
          <xdr:cNvSpPr/>
        </xdr:nvSpPr>
        <xdr:spPr>
          <a:xfrm>
            <a:off x="469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6" name="$B$10">
            <a:extLst>
              <a:ext uri="{FF2B5EF4-FFF2-40B4-BE49-F238E27FC236}">
                <a16:creationId xmlns:a16="http://schemas.microsoft.com/office/drawing/2014/main" id="{42D0E2BC-675F-47A9-9C08-E23B89A3AB4E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7" name="$B$10">
            <a:extLst>
              <a:ext uri="{FF2B5EF4-FFF2-40B4-BE49-F238E27FC236}">
                <a16:creationId xmlns:a16="http://schemas.microsoft.com/office/drawing/2014/main" id="{503B5B03-5CA7-4DFD-943F-AB02DDC4EE83}"/>
              </a:ext>
            </a:extLst>
          </xdr:cNvPr>
          <xdr:cNvSpPr/>
        </xdr:nvSpPr>
        <xdr:spPr>
          <a:xfrm>
            <a:off x="5207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8" name="$B$10">
            <a:extLst>
              <a:ext uri="{FF2B5EF4-FFF2-40B4-BE49-F238E27FC236}">
                <a16:creationId xmlns:a16="http://schemas.microsoft.com/office/drawing/2014/main" id="{C73BEE58-FECA-492E-AFD9-DA341BA48F5E}"/>
              </a:ext>
            </a:extLst>
          </xdr:cNvPr>
          <xdr:cNvSpPr/>
        </xdr:nvSpPr>
        <xdr:spPr>
          <a:xfrm>
            <a:off x="5588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9" name="$B$10">
            <a:extLst>
              <a:ext uri="{FF2B5EF4-FFF2-40B4-BE49-F238E27FC236}">
                <a16:creationId xmlns:a16="http://schemas.microsoft.com/office/drawing/2014/main" id="{1E28AE13-8127-49F1-8846-2EC8BD683B94}"/>
              </a:ext>
            </a:extLst>
          </xdr:cNvPr>
          <xdr:cNvSpPr/>
        </xdr:nvSpPr>
        <xdr:spPr>
          <a:xfrm>
            <a:off x="5969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20" name="$B$10">
            <a:extLst>
              <a:ext uri="{FF2B5EF4-FFF2-40B4-BE49-F238E27FC236}">
                <a16:creationId xmlns:a16="http://schemas.microsoft.com/office/drawing/2014/main" id="{73544C48-7F6A-4A50-AD9C-F8881A776238}"/>
              </a:ext>
            </a:extLst>
          </xdr:cNvPr>
          <xdr:cNvSpPr/>
        </xdr:nvSpPr>
        <xdr:spPr>
          <a:xfrm>
            <a:off x="635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21" name="$B$10">
            <a:extLst>
              <a:ext uri="{FF2B5EF4-FFF2-40B4-BE49-F238E27FC236}">
                <a16:creationId xmlns:a16="http://schemas.microsoft.com/office/drawing/2014/main" id="{9A1E1F94-AD2F-4424-BDD7-A71893FA0492}"/>
              </a:ext>
            </a:extLst>
          </xdr:cNvPr>
          <xdr:cNvSpPr/>
        </xdr:nvSpPr>
        <xdr:spPr>
          <a:xfrm>
            <a:off x="673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22" name="$B$10">
            <a:extLst>
              <a:ext uri="{FF2B5EF4-FFF2-40B4-BE49-F238E27FC236}">
                <a16:creationId xmlns:a16="http://schemas.microsoft.com/office/drawing/2014/main" id="{470F048B-BFBD-4300-86F0-CDEB16A21301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23" name="$B$10">
            <a:extLst>
              <a:ext uri="{FF2B5EF4-FFF2-40B4-BE49-F238E27FC236}">
                <a16:creationId xmlns:a16="http://schemas.microsoft.com/office/drawing/2014/main" id="{51315028-EE80-429F-B500-C34CB99D26DF}"/>
              </a:ext>
            </a:extLst>
          </xdr:cNvPr>
          <xdr:cNvSpPr/>
        </xdr:nvSpPr>
        <xdr:spPr>
          <a:xfrm>
            <a:off x="736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24" name="$B$10">
            <a:extLst>
              <a:ext uri="{FF2B5EF4-FFF2-40B4-BE49-F238E27FC236}">
                <a16:creationId xmlns:a16="http://schemas.microsoft.com/office/drawing/2014/main" id="{1A130609-16A7-4F39-B6AA-C9CF21688038}"/>
              </a:ext>
            </a:extLst>
          </xdr:cNvPr>
          <xdr:cNvSpPr/>
        </xdr:nvSpPr>
        <xdr:spPr>
          <a:xfrm>
            <a:off x="762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25" name="$B$10">
            <a:extLst>
              <a:ext uri="{FF2B5EF4-FFF2-40B4-BE49-F238E27FC236}">
                <a16:creationId xmlns:a16="http://schemas.microsoft.com/office/drawing/2014/main" id="{5AB9B49D-F116-434E-8A67-B82B7346F075}"/>
              </a:ext>
            </a:extLst>
          </xdr:cNvPr>
          <xdr:cNvSpPr/>
        </xdr:nvSpPr>
        <xdr:spPr>
          <a:xfrm>
            <a:off x="800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26" name="$B$10">
            <a:extLst>
              <a:ext uri="{FF2B5EF4-FFF2-40B4-BE49-F238E27FC236}">
                <a16:creationId xmlns:a16="http://schemas.microsoft.com/office/drawing/2014/main" id="{0C4ED8BE-4291-4119-98F9-BFB5CD333B6A}"/>
              </a:ext>
            </a:extLst>
          </xdr:cNvPr>
          <xdr:cNvSpPr/>
        </xdr:nvSpPr>
        <xdr:spPr>
          <a:xfrm>
            <a:off x="825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27" name="$B$10">
            <a:extLst>
              <a:ext uri="{FF2B5EF4-FFF2-40B4-BE49-F238E27FC236}">
                <a16:creationId xmlns:a16="http://schemas.microsoft.com/office/drawing/2014/main" id="{42D311CD-22FA-489C-BA49-9FF1688EFEBA}"/>
              </a:ext>
            </a:extLst>
          </xdr:cNvPr>
          <xdr:cNvSpPr/>
        </xdr:nvSpPr>
        <xdr:spPr>
          <a:xfrm>
            <a:off x="876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216713</xdr:colOff>
      <xdr:row>10</xdr:row>
      <xdr:rowOff>0</xdr:rowOff>
    </xdr:from>
    <xdr:to>
      <xdr:col>1</xdr:col>
      <xdr:colOff>2191207</xdr:colOff>
      <xdr:row>11</xdr:row>
      <xdr:rowOff>0</xdr:rowOff>
    </xdr:to>
    <xdr:grpSp>
      <xdr:nvGrpSpPr>
        <xdr:cNvPr id="45663" name="$B$11" descr="Linear barcode, 100 modules" title="1111412112122111132122112113111211222211122212111411111231111111411">
          <a:extLst>
            <a:ext uri="{FF2B5EF4-FFF2-40B4-BE49-F238E27FC236}">
              <a16:creationId xmlns:a16="http://schemas.microsoft.com/office/drawing/2014/main" id="{161901E0-C586-42ED-861B-F9C241B8FCC8}"/>
            </a:ext>
          </a:extLst>
        </xdr:cNvPr>
        <xdr:cNvGrpSpPr>
          <a:grpSpLocks noChangeAspect="1"/>
        </xdr:cNvGrpSpPr>
      </xdr:nvGrpSpPr>
      <xdr:grpSpPr>
        <a:xfrm>
          <a:off x="1184453" y="4998720"/>
          <a:ext cx="1974494" cy="266700"/>
          <a:chOff x="0" y="12700"/>
          <a:chExt cx="1270000" cy="12700"/>
        </a:xfrm>
        <a:solidFill>
          <a:srgbClr val="000000"/>
        </a:solidFill>
      </xdr:grpSpPr>
      <xdr:sp macro="" textlink="">
        <xdr:nvSpPr>
          <xdr:cNvPr id="45629" name="$B$11">
            <a:extLst>
              <a:ext uri="{FF2B5EF4-FFF2-40B4-BE49-F238E27FC236}">
                <a16:creationId xmlns:a16="http://schemas.microsoft.com/office/drawing/2014/main" id="{CA57894A-EDF1-49F9-A6BA-96207DA82972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0" name="$B$11">
            <a:extLst>
              <a:ext uri="{FF2B5EF4-FFF2-40B4-BE49-F238E27FC236}">
                <a16:creationId xmlns:a16="http://schemas.microsoft.com/office/drawing/2014/main" id="{993BDE79-AC7F-4EE9-9794-AB52CB4B7958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1" name="$B$11">
            <a:extLst>
              <a:ext uri="{FF2B5EF4-FFF2-40B4-BE49-F238E27FC236}">
                <a16:creationId xmlns:a16="http://schemas.microsoft.com/office/drawing/2014/main" id="{647CF65A-F506-4CF7-8AEA-42A411683A2A}"/>
              </a:ext>
            </a:extLst>
          </xdr:cNvPr>
          <xdr:cNvSpPr/>
        </xdr:nvSpPr>
        <xdr:spPr>
          <a:xfrm>
            <a:off x="50800" y="1270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2" name="$B$11">
            <a:extLst>
              <a:ext uri="{FF2B5EF4-FFF2-40B4-BE49-F238E27FC236}">
                <a16:creationId xmlns:a16="http://schemas.microsoft.com/office/drawing/2014/main" id="{54BF8AAD-A183-45B7-86A4-C0B8A5735E71}"/>
              </a:ext>
            </a:extLst>
          </xdr:cNvPr>
          <xdr:cNvSpPr/>
        </xdr:nvSpPr>
        <xdr:spPr>
          <a:xfrm>
            <a:off x="1143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3" name="$B$11">
            <a:extLst>
              <a:ext uri="{FF2B5EF4-FFF2-40B4-BE49-F238E27FC236}">
                <a16:creationId xmlns:a16="http://schemas.microsoft.com/office/drawing/2014/main" id="{9567E30F-A1B3-407B-9ACF-944B77BBAA9A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4" name="$B$11">
            <a:extLst>
              <a:ext uri="{FF2B5EF4-FFF2-40B4-BE49-F238E27FC236}">
                <a16:creationId xmlns:a16="http://schemas.microsoft.com/office/drawing/2014/main" id="{26BE2E4D-96CE-4F66-A4F1-1B932EFB7F4E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5" name="$B$11">
            <a:extLst>
              <a:ext uri="{FF2B5EF4-FFF2-40B4-BE49-F238E27FC236}">
                <a16:creationId xmlns:a16="http://schemas.microsoft.com/office/drawing/2014/main" id="{3A334B99-4B23-4C9B-AC9E-879882375F13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6" name="$B$11">
            <a:extLst>
              <a:ext uri="{FF2B5EF4-FFF2-40B4-BE49-F238E27FC236}">
                <a16:creationId xmlns:a16="http://schemas.microsoft.com/office/drawing/2014/main" id="{66CB6A43-94C3-4E8C-ABEA-5942D373405F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7" name="$B$11">
            <a:extLst>
              <a:ext uri="{FF2B5EF4-FFF2-40B4-BE49-F238E27FC236}">
                <a16:creationId xmlns:a16="http://schemas.microsoft.com/office/drawing/2014/main" id="{D93DB8A9-6DCE-4CA5-A18C-93A715F90725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8" name="$B$11">
            <a:extLst>
              <a:ext uri="{FF2B5EF4-FFF2-40B4-BE49-F238E27FC236}">
                <a16:creationId xmlns:a16="http://schemas.microsoft.com/office/drawing/2014/main" id="{6525E8A5-5802-47E2-96BD-520B4A561AC8}"/>
              </a:ext>
            </a:extLst>
          </xdr:cNvPr>
          <xdr:cNvSpPr/>
        </xdr:nvSpPr>
        <xdr:spPr>
          <a:xfrm>
            <a:off x="3429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9" name="$B$11">
            <a:extLst>
              <a:ext uri="{FF2B5EF4-FFF2-40B4-BE49-F238E27FC236}">
                <a16:creationId xmlns:a16="http://schemas.microsoft.com/office/drawing/2014/main" id="{C0079738-5C4E-4BFF-BF16-B7674C460B95}"/>
              </a:ext>
            </a:extLst>
          </xdr:cNvPr>
          <xdr:cNvSpPr/>
        </xdr:nvSpPr>
        <xdr:spPr>
          <a:xfrm>
            <a:off x="381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0" name="$B$11">
            <a:extLst>
              <a:ext uri="{FF2B5EF4-FFF2-40B4-BE49-F238E27FC236}">
                <a16:creationId xmlns:a16="http://schemas.microsoft.com/office/drawing/2014/main" id="{F7008D4E-66F7-4403-B845-6F35075B52F9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1" name="$B$11">
            <a:extLst>
              <a:ext uri="{FF2B5EF4-FFF2-40B4-BE49-F238E27FC236}">
                <a16:creationId xmlns:a16="http://schemas.microsoft.com/office/drawing/2014/main" id="{8CD9F9EE-FDD9-45B3-9927-E1651BDAE1E1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2" name="$B$11">
            <a:extLst>
              <a:ext uri="{FF2B5EF4-FFF2-40B4-BE49-F238E27FC236}">
                <a16:creationId xmlns:a16="http://schemas.microsoft.com/office/drawing/2014/main" id="{9A943BB5-1C05-4638-8450-E1316EA152C3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3" name="$B$11">
            <a:extLst>
              <a:ext uri="{FF2B5EF4-FFF2-40B4-BE49-F238E27FC236}">
                <a16:creationId xmlns:a16="http://schemas.microsoft.com/office/drawing/2014/main" id="{2CA4C999-9801-4321-84A4-AAD6C94D19E1}"/>
              </a:ext>
            </a:extLst>
          </xdr:cNvPr>
          <xdr:cNvSpPr/>
        </xdr:nvSpPr>
        <xdr:spPr>
          <a:xfrm>
            <a:off x="546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4" name="$B$11">
            <a:extLst>
              <a:ext uri="{FF2B5EF4-FFF2-40B4-BE49-F238E27FC236}">
                <a16:creationId xmlns:a16="http://schemas.microsoft.com/office/drawing/2014/main" id="{BA1A466B-6D2E-4A58-B26E-4CF0E76DC6B8}"/>
              </a:ext>
            </a:extLst>
          </xdr:cNvPr>
          <xdr:cNvSpPr/>
        </xdr:nvSpPr>
        <xdr:spPr>
          <a:xfrm>
            <a:off x="571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5" name="$B$11">
            <a:extLst>
              <a:ext uri="{FF2B5EF4-FFF2-40B4-BE49-F238E27FC236}">
                <a16:creationId xmlns:a16="http://schemas.microsoft.com/office/drawing/2014/main" id="{CC3C8060-EE4F-4E9D-B623-1EF6BC86A49A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6" name="$B$11">
            <a:extLst>
              <a:ext uri="{FF2B5EF4-FFF2-40B4-BE49-F238E27FC236}">
                <a16:creationId xmlns:a16="http://schemas.microsoft.com/office/drawing/2014/main" id="{D419D388-AB2D-4EE8-AC5C-09203F35F046}"/>
              </a:ext>
            </a:extLst>
          </xdr:cNvPr>
          <xdr:cNvSpPr/>
        </xdr:nvSpPr>
        <xdr:spPr>
          <a:xfrm>
            <a:off x="635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7" name="$B$11">
            <a:extLst>
              <a:ext uri="{FF2B5EF4-FFF2-40B4-BE49-F238E27FC236}">
                <a16:creationId xmlns:a16="http://schemas.microsoft.com/office/drawing/2014/main" id="{99226C7D-1159-4BE6-8420-8526CC4B21DD}"/>
              </a:ext>
            </a:extLst>
          </xdr:cNvPr>
          <xdr:cNvSpPr/>
        </xdr:nvSpPr>
        <xdr:spPr>
          <a:xfrm>
            <a:off x="6858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8" name="$B$11">
            <a:extLst>
              <a:ext uri="{FF2B5EF4-FFF2-40B4-BE49-F238E27FC236}">
                <a16:creationId xmlns:a16="http://schemas.microsoft.com/office/drawing/2014/main" id="{03C0FD99-DEDF-4801-BE8C-C4054DA57178}"/>
              </a:ext>
            </a:extLst>
          </xdr:cNvPr>
          <xdr:cNvSpPr/>
        </xdr:nvSpPr>
        <xdr:spPr>
          <a:xfrm>
            <a:off x="736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9" name="$B$11">
            <a:extLst>
              <a:ext uri="{FF2B5EF4-FFF2-40B4-BE49-F238E27FC236}">
                <a16:creationId xmlns:a16="http://schemas.microsoft.com/office/drawing/2014/main" id="{AEDA707A-5EA9-4346-B9D2-B9A1FE4AA5D7}"/>
              </a:ext>
            </a:extLst>
          </xdr:cNvPr>
          <xdr:cNvSpPr/>
        </xdr:nvSpPr>
        <xdr:spPr>
          <a:xfrm>
            <a:off x="762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0" name="$B$11">
            <a:extLst>
              <a:ext uri="{FF2B5EF4-FFF2-40B4-BE49-F238E27FC236}">
                <a16:creationId xmlns:a16="http://schemas.microsoft.com/office/drawing/2014/main" id="{D20A82FF-FD02-44B0-89F0-74E50C2F005A}"/>
              </a:ext>
            </a:extLst>
          </xdr:cNvPr>
          <xdr:cNvSpPr/>
        </xdr:nvSpPr>
        <xdr:spPr>
          <a:xfrm>
            <a:off x="8001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1" name="$B$11">
            <a:extLst>
              <a:ext uri="{FF2B5EF4-FFF2-40B4-BE49-F238E27FC236}">
                <a16:creationId xmlns:a16="http://schemas.microsoft.com/office/drawing/2014/main" id="{0E5D1200-BB70-4CF6-8598-96145F74D64C}"/>
              </a:ext>
            </a:extLst>
          </xdr:cNvPr>
          <xdr:cNvSpPr/>
        </xdr:nvSpPr>
        <xdr:spPr>
          <a:xfrm>
            <a:off x="850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2" name="$B$11">
            <a:extLst>
              <a:ext uri="{FF2B5EF4-FFF2-40B4-BE49-F238E27FC236}">
                <a16:creationId xmlns:a16="http://schemas.microsoft.com/office/drawing/2014/main" id="{34228FB2-456B-429C-BA39-805EA5166525}"/>
              </a:ext>
            </a:extLst>
          </xdr:cNvPr>
          <xdr:cNvSpPr/>
        </xdr:nvSpPr>
        <xdr:spPr>
          <a:xfrm>
            <a:off x="889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3" name="$B$11">
            <a:extLst>
              <a:ext uri="{FF2B5EF4-FFF2-40B4-BE49-F238E27FC236}">
                <a16:creationId xmlns:a16="http://schemas.microsoft.com/office/drawing/2014/main" id="{2AEBD251-027B-46A5-8C96-5134E378E49F}"/>
              </a:ext>
            </a:extLst>
          </xdr:cNvPr>
          <xdr:cNvSpPr/>
        </xdr:nvSpPr>
        <xdr:spPr>
          <a:xfrm>
            <a:off x="914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4" name="$B$11">
            <a:extLst>
              <a:ext uri="{FF2B5EF4-FFF2-40B4-BE49-F238E27FC236}">
                <a16:creationId xmlns:a16="http://schemas.microsoft.com/office/drawing/2014/main" id="{BBD580B7-6ED4-47A6-B20D-4E6B948C844F}"/>
              </a:ext>
            </a:extLst>
          </xdr:cNvPr>
          <xdr:cNvSpPr/>
        </xdr:nvSpPr>
        <xdr:spPr>
          <a:xfrm>
            <a:off x="977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5" name="$B$11">
            <a:extLst>
              <a:ext uri="{FF2B5EF4-FFF2-40B4-BE49-F238E27FC236}">
                <a16:creationId xmlns:a16="http://schemas.microsoft.com/office/drawing/2014/main" id="{4980A4B7-F97E-42FE-B107-2B73D54CBCCB}"/>
              </a:ext>
            </a:extLst>
          </xdr:cNvPr>
          <xdr:cNvSpPr/>
        </xdr:nvSpPr>
        <xdr:spPr>
          <a:xfrm>
            <a:off x="1003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6" name="$B$11">
            <a:extLst>
              <a:ext uri="{FF2B5EF4-FFF2-40B4-BE49-F238E27FC236}">
                <a16:creationId xmlns:a16="http://schemas.microsoft.com/office/drawing/2014/main" id="{E0C70BFD-2A79-49DC-95B9-63427DCF944A}"/>
              </a:ext>
            </a:extLst>
          </xdr:cNvPr>
          <xdr:cNvSpPr/>
        </xdr:nvSpPr>
        <xdr:spPr>
          <a:xfrm>
            <a:off x="1028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7" name="$B$11">
            <a:extLst>
              <a:ext uri="{FF2B5EF4-FFF2-40B4-BE49-F238E27FC236}">
                <a16:creationId xmlns:a16="http://schemas.microsoft.com/office/drawing/2014/main" id="{2E3AC94B-A399-4020-96F9-9B4ACF3FDC52}"/>
              </a:ext>
            </a:extLst>
          </xdr:cNvPr>
          <xdr:cNvSpPr/>
        </xdr:nvSpPr>
        <xdr:spPr>
          <a:xfrm>
            <a:off x="1066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8" name="$B$11">
            <a:extLst>
              <a:ext uri="{FF2B5EF4-FFF2-40B4-BE49-F238E27FC236}">
                <a16:creationId xmlns:a16="http://schemas.microsoft.com/office/drawing/2014/main" id="{62F6CBDA-7416-464D-84F9-4806FFC4DCAF}"/>
              </a:ext>
            </a:extLst>
          </xdr:cNvPr>
          <xdr:cNvSpPr/>
        </xdr:nvSpPr>
        <xdr:spPr>
          <a:xfrm>
            <a:off x="1117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9" name="$B$11">
            <a:extLst>
              <a:ext uri="{FF2B5EF4-FFF2-40B4-BE49-F238E27FC236}">
                <a16:creationId xmlns:a16="http://schemas.microsoft.com/office/drawing/2014/main" id="{7FB7AB38-ADE9-4127-94AA-0A2852F3E1BC}"/>
              </a:ext>
            </a:extLst>
          </xdr:cNvPr>
          <xdr:cNvSpPr/>
        </xdr:nvSpPr>
        <xdr:spPr>
          <a:xfrm>
            <a:off x="1143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60" name="$B$11">
            <a:extLst>
              <a:ext uri="{FF2B5EF4-FFF2-40B4-BE49-F238E27FC236}">
                <a16:creationId xmlns:a16="http://schemas.microsoft.com/office/drawing/2014/main" id="{2D7D5C61-6023-4BC1-94E1-730317D64051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61" name="$B$11">
            <a:extLst>
              <a:ext uri="{FF2B5EF4-FFF2-40B4-BE49-F238E27FC236}">
                <a16:creationId xmlns:a16="http://schemas.microsoft.com/office/drawing/2014/main" id="{59C998BE-1436-4308-85D9-0EB43E266792}"/>
              </a:ext>
            </a:extLst>
          </xdr:cNvPr>
          <xdr:cNvSpPr/>
        </xdr:nvSpPr>
        <xdr:spPr>
          <a:xfrm>
            <a:off x="1193800" y="1270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62" name="$B$11">
            <a:extLst>
              <a:ext uri="{FF2B5EF4-FFF2-40B4-BE49-F238E27FC236}">
                <a16:creationId xmlns:a16="http://schemas.microsoft.com/office/drawing/2014/main" id="{8A1F9FA8-F797-4119-9F2F-1F63C9E7B405}"/>
              </a:ext>
            </a:extLst>
          </xdr:cNvPr>
          <xdr:cNvSpPr/>
        </xdr:nvSpPr>
        <xdr:spPr>
          <a:xfrm>
            <a:off x="1257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228841</xdr:colOff>
      <xdr:row>0</xdr:row>
      <xdr:rowOff>0</xdr:rowOff>
    </xdr:from>
    <xdr:to>
      <xdr:col>1</xdr:col>
      <xdr:colOff>2186700</xdr:colOff>
      <xdr:row>1</xdr:row>
      <xdr:rowOff>0</xdr:rowOff>
    </xdr:to>
    <xdr:grpSp>
      <xdr:nvGrpSpPr>
        <xdr:cNvPr id="249" name="$B$1" descr="Linear barcode, 95 modules" title="11111142221113222211132222111111321132113211321114111114111">
          <a:extLst>
            <a:ext uri="{FF2B5EF4-FFF2-40B4-BE49-F238E27FC236}">
              <a16:creationId xmlns:a16="http://schemas.microsoft.com/office/drawing/2014/main" id="{05D06BD4-38A0-4417-89AB-563DBAE29E29}"/>
            </a:ext>
          </a:extLst>
        </xdr:cNvPr>
        <xdr:cNvGrpSpPr>
          <a:grpSpLocks noChangeAspect="1"/>
        </xdr:cNvGrpSpPr>
      </xdr:nvGrpSpPr>
      <xdr:grpSpPr>
        <a:xfrm>
          <a:off x="1265161" y="0"/>
          <a:ext cx="1957859" cy="365760"/>
          <a:chOff x="0" y="12700"/>
          <a:chExt cx="1206500" cy="12700"/>
        </a:xfrm>
        <a:solidFill>
          <a:srgbClr val="000000"/>
        </a:solidFill>
      </xdr:grpSpPr>
      <xdr:sp macro="" textlink="">
        <xdr:nvSpPr>
          <xdr:cNvPr id="219" name="$B$1">
            <a:extLst>
              <a:ext uri="{FF2B5EF4-FFF2-40B4-BE49-F238E27FC236}">
                <a16:creationId xmlns:a16="http://schemas.microsoft.com/office/drawing/2014/main" id="{031102C2-9D7B-49E5-95F9-537D516816E8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0" name="$B$1">
            <a:extLst>
              <a:ext uri="{FF2B5EF4-FFF2-40B4-BE49-F238E27FC236}">
                <a16:creationId xmlns:a16="http://schemas.microsoft.com/office/drawing/2014/main" id="{216D186B-6878-4742-8EE2-AC8943AC7F1E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1" name="$B$1">
            <a:extLst>
              <a:ext uri="{FF2B5EF4-FFF2-40B4-BE49-F238E27FC236}">
                <a16:creationId xmlns:a16="http://schemas.microsoft.com/office/drawing/2014/main" id="{761E30E0-C537-4A14-95EF-FC3BA47FB812}"/>
              </a:ext>
            </a:extLst>
          </xdr:cNvPr>
          <xdr:cNvSpPr/>
        </xdr:nvSpPr>
        <xdr:spPr>
          <a:xfrm>
            <a:off x="50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2" name="$B$1">
            <a:extLst>
              <a:ext uri="{FF2B5EF4-FFF2-40B4-BE49-F238E27FC236}">
                <a16:creationId xmlns:a16="http://schemas.microsoft.com/office/drawing/2014/main" id="{7A4CCE6E-8745-4A38-AA38-462328969027}"/>
              </a:ext>
            </a:extLst>
          </xdr:cNvPr>
          <xdr:cNvSpPr/>
        </xdr:nvSpPr>
        <xdr:spPr>
          <a:xfrm>
            <a:off x="76200" y="1270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3" name="$B$1">
            <a:extLst>
              <a:ext uri="{FF2B5EF4-FFF2-40B4-BE49-F238E27FC236}">
                <a16:creationId xmlns:a16="http://schemas.microsoft.com/office/drawing/2014/main" id="{E35C156B-141F-462D-8722-8381FDFD585A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4" name="$B$1">
            <a:extLst>
              <a:ext uri="{FF2B5EF4-FFF2-40B4-BE49-F238E27FC236}">
                <a16:creationId xmlns:a16="http://schemas.microsoft.com/office/drawing/2014/main" id="{D66D7196-4DEC-400C-8B8F-A0DF553BE2C4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5" name="$B$1">
            <a:extLst>
              <a:ext uri="{FF2B5EF4-FFF2-40B4-BE49-F238E27FC236}">
                <a16:creationId xmlns:a16="http://schemas.microsoft.com/office/drawing/2014/main" id="{3F3E3FB0-E959-4F69-A4ED-96D00362FB62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6" name="$B$1">
            <a:extLst>
              <a:ext uri="{FF2B5EF4-FFF2-40B4-BE49-F238E27FC236}">
                <a16:creationId xmlns:a16="http://schemas.microsoft.com/office/drawing/2014/main" id="{76A1854E-C8D5-4765-A4AC-C5480F663F91}"/>
              </a:ext>
            </a:extLst>
          </xdr:cNvPr>
          <xdr:cNvSpPr/>
        </xdr:nvSpPr>
        <xdr:spPr>
          <a:xfrm>
            <a:off x="279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$B$1">
            <a:extLst>
              <a:ext uri="{FF2B5EF4-FFF2-40B4-BE49-F238E27FC236}">
                <a16:creationId xmlns:a16="http://schemas.microsoft.com/office/drawing/2014/main" id="{19872900-E1DB-408F-9798-3272AA65183E}"/>
              </a:ext>
            </a:extLst>
          </xdr:cNvPr>
          <xdr:cNvSpPr/>
        </xdr:nvSpPr>
        <xdr:spPr>
          <a:xfrm>
            <a:off x="330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8" name="$B$1">
            <a:extLst>
              <a:ext uri="{FF2B5EF4-FFF2-40B4-BE49-F238E27FC236}">
                <a16:creationId xmlns:a16="http://schemas.microsoft.com/office/drawing/2014/main" id="{F10A74E7-FAA3-42B1-9714-993297F777AC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9" name="$B$1">
            <a:extLst>
              <a:ext uri="{FF2B5EF4-FFF2-40B4-BE49-F238E27FC236}">
                <a16:creationId xmlns:a16="http://schemas.microsoft.com/office/drawing/2014/main" id="{4338FA17-202D-4905-B726-6CE886152025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0" name="$B$1">
            <a:extLst>
              <a:ext uri="{FF2B5EF4-FFF2-40B4-BE49-F238E27FC236}">
                <a16:creationId xmlns:a16="http://schemas.microsoft.com/office/drawing/2014/main" id="{6FF87D39-7B7F-4854-81F6-98DC067128FE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1" name="$B$1">
            <a:extLst>
              <a:ext uri="{FF2B5EF4-FFF2-40B4-BE49-F238E27FC236}">
                <a16:creationId xmlns:a16="http://schemas.microsoft.com/office/drawing/2014/main" id="{7A9BCECB-B46F-44D3-BBC1-35B166EFE4ED}"/>
              </a:ext>
            </a:extLst>
          </xdr:cNvPr>
          <xdr:cNvSpPr/>
        </xdr:nvSpPr>
        <xdr:spPr>
          <a:xfrm>
            <a:off x="508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2" name="$B$1">
            <a:extLst>
              <a:ext uri="{FF2B5EF4-FFF2-40B4-BE49-F238E27FC236}">
                <a16:creationId xmlns:a16="http://schemas.microsoft.com/office/drawing/2014/main" id="{723487A7-0252-4FED-9085-417FA01EE299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3" name="$B$1">
            <a:extLst>
              <a:ext uri="{FF2B5EF4-FFF2-40B4-BE49-F238E27FC236}">
                <a16:creationId xmlns:a16="http://schemas.microsoft.com/office/drawing/2014/main" id="{52A520E0-EBD0-4EEF-B4AB-D52AF88B1733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$B$1">
            <a:extLst>
              <a:ext uri="{FF2B5EF4-FFF2-40B4-BE49-F238E27FC236}">
                <a16:creationId xmlns:a16="http://schemas.microsoft.com/office/drawing/2014/main" id="{2DA929F2-E771-4DCB-B76B-7BE2954CEE55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5" name="$B$1">
            <a:extLst>
              <a:ext uri="{FF2B5EF4-FFF2-40B4-BE49-F238E27FC236}">
                <a16:creationId xmlns:a16="http://schemas.microsoft.com/office/drawing/2014/main" id="{C4195329-2DDF-4E7C-A8E7-3E5703D326A3}"/>
              </a:ext>
            </a:extLst>
          </xdr:cNvPr>
          <xdr:cNvSpPr/>
        </xdr:nvSpPr>
        <xdr:spPr>
          <a:xfrm>
            <a:off x="6350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6" name="$B$1">
            <a:extLst>
              <a:ext uri="{FF2B5EF4-FFF2-40B4-BE49-F238E27FC236}">
                <a16:creationId xmlns:a16="http://schemas.microsoft.com/office/drawing/2014/main" id="{65BDFFCE-2315-47FA-896A-DEB762A8D0AF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7" name="$B$1">
            <a:extLst>
              <a:ext uri="{FF2B5EF4-FFF2-40B4-BE49-F238E27FC236}">
                <a16:creationId xmlns:a16="http://schemas.microsoft.com/office/drawing/2014/main" id="{9A361936-8B41-4412-BC8B-6BBEB4BB0989}"/>
              </a:ext>
            </a:extLst>
          </xdr:cNvPr>
          <xdr:cNvSpPr/>
        </xdr:nvSpPr>
        <xdr:spPr>
          <a:xfrm>
            <a:off x="7239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8" name="$B$1">
            <a:extLst>
              <a:ext uri="{FF2B5EF4-FFF2-40B4-BE49-F238E27FC236}">
                <a16:creationId xmlns:a16="http://schemas.microsoft.com/office/drawing/2014/main" id="{D905598D-EF78-4447-ABEB-D650659D8225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9" name="$B$1">
            <a:extLst>
              <a:ext uri="{FF2B5EF4-FFF2-40B4-BE49-F238E27FC236}">
                <a16:creationId xmlns:a16="http://schemas.microsoft.com/office/drawing/2014/main" id="{6E1D8A84-9C46-435D-8AA2-897BF9442D74}"/>
              </a:ext>
            </a:extLst>
          </xdr:cNvPr>
          <xdr:cNvSpPr/>
        </xdr:nvSpPr>
        <xdr:spPr>
          <a:xfrm>
            <a:off x="812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0" name="$B$1">
            <a:extLst>
              <a:ext uri="{FF2B5EF4-FFF2-40B4-BE49-F238E27FC236}">
                <a16:creationId xmlns:a16="http://schemas.microsoft.com/office/drawing/2014/main" id="{084A815C-A5BE-4B33-BDEB-918750F388C4}"/>
              </a:ext>
            </a:extLst>
          </xdr:cNvPr>
          <xdr:cNvSpPr/>
        </xdr:nvSpPr>
        <xdr:spPr>
          <a:xfrm>
            <a:off x="876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$B$1">
            <a:extLst>
              <a:ext uri="{FF2B5EF4-FFF2-40B4-BE49-F238E27FC236}">
                <a16:creationId xmlns:a16="http://schemas.microsoft.com/office/drawing/2014/main" id="{66174F0B-718F-4A52-B67F-463357673E0F}"/>
              </a:ext>
            </a:extLst>
          </xdr:cNvPr>
          <xdr:cNvSpPr/>
        </xdr:nvSpPr>
        <xdr:spPr>
          <a:xfrm>
            <a:off x="9017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2" name="$B$1">
            <a:extLst>
              <a:ext uri="{FF2B5EF4-FFF2-40B4-BE49-F238E27FC236}">
                <a16:creationId xmlns:a16="http://schemas.microsoft.com/office/drawing/2014/main" id="{3AAD2599-8C7A-4123-866A-CFEC0DA5211D}"/>
              </a:ext>
            </a:extLst>
          </xdr:cNvPr>
          <xdr:cNvSpPr/>
        </xdr:nvSpPr>
        <xdr:spPr>
          <a:xfrm>
            <a:off x="965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3" name="$B$1">
            <a:extLst>
              <a:ext uri="{FF2B5EF4-FFF2-40B4-BE49-F238E27FC236}">
                <a16:creationId xmlns:a16="http://schemas.microsoft.com/office/drawing/2014/main" id="{A000861B-D3EA-44F2-9A29-8F28FFFF7A20}"/>
              </a:ext>
            </a:extLst>
          </xdr:cNvPr>
          <xdr:cNvSpPr/>
        </xdr:nvSpPr>
        <xdr:spPr>
          <a:xfrm>
            <a:off x="990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4" name="$B$1">
            <a:extLst>
              <a:ext uri="{FF2B5EF4-FFF2-40B4-BE49-F238E27FC236}">
                <a16:creationId xmlns:a16="http://schemas.microsoft.com/office/drawing/2014/main" id="{66007D4C-F093-43E6-A0D2-3B6CD856A125}"/>
              </a:ext>
            </a:extLst>
          </xdr:cNvPr>
          <xdr:cNvSpPr/>
        </xdr:nvSpPr>
        <xdr:spPr>
          <a:xfrm>
            <a:off x="1054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5" name="$B$1">
            <a:extLst>
              <a:ext uri="{FF2B5EF4-FFF2-40B4-BE49-F238E27FC236}">
                <a16:creationId xmlns:a16="http://schemas.microsoft.com/office/drawing/2014/main" id="{A0AD29A5-34E0-4DD2-90AE-03C939F20646}"/>
              </a:ext>
            </a:extLst>
          </xdr:cNvPr>
          <xdr:cNvSpPr/>
        </xdr:nvSpPr>
        <xdr:spPr>
          <a:xfrm>
            <a:off x="1079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6" name="$B$1">
            <a:extLst>
              <a:ext uri="{FF2B5EF4-FFF2-40B4-BE49-F238E27FC236}">
                <a16:creationId xmlns:a16="http://schemas.microsoft.com/office/drawing/2014/main" id="{79DDF235-859E-4CCE-AF52-4B9D76CF71E3}"/>
              </a:ext>
            </a:extLst>
          </xdr:cNvPr>
          <xdr:cNvSpPr/>
        </xdr:nvSpPr>
        <xdr:spPr>
          <a:xfrm>
            <a:off x="1104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$B$1">
            <a:extLst>
              <a:ext uri="{FF2B5EF4-FFF2-40B4-BE49-F238E27FC236}">
                <a16:creationId xmlns:a16="http://schemas.microsoft.com/office/drawing/2014/main" id="{C0F52D33-C218-4576-AA04-FCA11C6C5BF6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8" name="$B$1">
            <a:extLst>
              <a:ext uri="{FF2B5EF4-FFF2-40B4-BE49-F238E27FC236}">
                <a16:creationId xmlns:a16="http://schemas.microsoft.com/office/drawing/2014/main" id="{7DC98FF0-ACAF-4CBE-AEEF-C64FE1C1958C}"/>
              </a:ext>
            </a:extLst>
          </xdr:cNvPr>
          <xdr:cNvSpPr/>
        </xdr:nvSpPr>
        <xdr:spPr>
          <a:xfrm>
            <a:off x="1193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426272</xdr:colOff>
      <xdr:row>1</xdr:row>
      <xdr:rowOff>0</xdr:rowOff>
    </xdr:from>
    <xdr:to>
      <xdr:col>1</xdr:col>
      <xdr:colOff>1989268</xdr:colOff>
      <xdr:row>2</xdr:row>
      <xdr:rowOff>0</xdr:rowOff>
    </xdr:to>
    <xdr:grpSp>
      <xdr:nvGrpSpPr>
        <xdr:cNvPr id="267" name="$B$2" descr="Linear barcode, 51 modules" title="111411122211132122231121141111111">
          <a:extLst>
            <a:ext uri="{FF2B5EF4-FFF2-40B4-BE49-F238E27FC236}">
              <a16:creationId xmlns:a16="http://schemas.microsoft.com/office/drawing/2014/main" id="{3E85EE79-20EB-4EAA-97C5-81EF2D9603A8}"/>
            </a:ext>
          </a:extLst>
        </xdr:cNvPr>
        <xdr:cNvGrpSpPr>
          <a:grpSpLocks noChangeAspect="1"/>
        </xdr:cNvGrpSpPr>
      </xdr:nvGrpSpPr>
      <xdr:grpSpPr>
        <a:xfrm>
          <a:off x="1462592" y="365760"/>
          <a:ext cx="1562996" cy="365760"/>
          <a:chOff x="0" y="12700"/>
          <a:chExt cx="647700" cy="12700"/>
        </a:xfrm>
        <a:solidFill>
          <a:srgbClr val="000000"/>
        </a:solidFill>
      </xdr:grpSpPr>
      <xdr:sp macro="" textlink="">
        <xdr:nvSpPr>
          <xdr:cNvPr id="250" name="$B$2">
            <a:extLst>
              <a:ext uri="{FF2B5EF4-FFF2-40B4-BE49-F238E27FC236}">
                <a16:creationId xmlns:a16="http://schemas.microsoft.com/office/drawing/2014/main" id="{A3F46E65-4E9F-4555-8CCA-5F76371FDD6D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1" name="$B$2">
            <a:extLst>
              <a:ext uri="{FF2B5EF4-FFF2-40B4-BE49-F238E27FC236}">
                <a16:creationId xmlns:a16="http://schemas.microsoft.com/office/drawing/2014/main" id="{4674082F-5D5B-4870-B82E-FCF877F816BC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2" name="$B$2">
            <a:extLst>
              <a:ext uri="{FF2B5EF4-FFF2-40B4-BE49-F238E27FC236}">
                <a16:creationId xmlns:a16="http://schemas.microsoft.com/office/drawing/2014/main" id="{AF4EB550-636D-4F15-A277-FC62C7E8501A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3" name="$B$2">
            <a:extLst>
              <a:ext uri="{FF2B5EF4-FFF2-40B4-BE49-F238E27FC236}">
                <a16:creationId xmlns:a16="http://schemas.microsoft.com/office/drawing/2014/main" id="{4D7C94A2-FC0D-43DC-9FCA-35A9CBEE1B0A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4" name="$B$2">
            <a:extLst>
              <a:ext uri="{FF2B5EF4-FFF2-40B4-BE49-F238E27FC236}">
                <a16:creationId xmlns:a16="http://schemas.microsoft.com/office/drawing/2014/main" id="{8A10DDC8-164D-43BD-B513-EFB34805E968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5" name="$B$2">
            <a:extLst>
              <a:ext uri="{FF2B5EF4-FFF2-40B4-BE49-F238E27FC236}">
                <a16:creationId xmlns:a16="http://schemas.microsoft.com/office/drawing/2014/main" id="{A59DF7BA-A24E-4FA6-B9C3-7D7DF08A1F3C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6" name="$B$2">
            <a:extLst>
              <a:ext uri="{FF2B5EF4-FFF2-40B4-BE49-F238E27FC236}">
                <a16:creationId xmlns:a16="http://schemas.microsoft.com/office/drawing/2014/main" id="{A97161D2-F420-4A16-BA50-C38437AAD2BE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7" name="$B$2">
            <a:extLst>
              <a:ext uri="{FF2B5EF4-FFF2-40B4-BE49-F238E27FC236}">
                <a16:creationId xmlns:a16="http://schemas.microsoft.com/office/drawing/2014/main" id="{BC13B1C3-C0A4-49FE-82AF-3488C3DBE2F0}"/>
              </a:ext>
            </a:extLst>
          </xdr:cNvPr>
          <xdr:cNvSpPr/>
        </xdr:nvSpPr>
        <xdr:spPr>
          <a:xfrm>
            <a:off x="279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8" name="$B$2">
            <a:extLst>
              <a:ext uri="{FF2B5EF4-FFF2-40B4-BE49-F238E27FC236}">
                <a16:creationId xmlns:a16="http://schemas.microsoft.com/office/drawing/2014/main" id="{91D44FBE-DECF-4B45-8A40-F4AC878A5B6B}"/>
              </a:ext>
            </a:extLst>
          </xdr:cNvPr>
          <xdr:cNvSpPr/>
        </xdr:nvSpPr>
        <xdr:spPr>
          <a:xfrm>
            <a:off x="317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9" name="$B$2">
            <a:extLst>
              <a:ext uri="{FF2B5EF4-FFF2-40B4-BE49-F238E27FC236}">
                <a16:creationId xmlns:a16="http://schemas.microsoft.com/office/drawing/2014/main" id="{CCEDE46E-60C6-4AD7-A542-8389B1960473}"/>
              </a:ext>
            </a:extLst>
          </xdr:cNvPr>
          <xdr:cNvSpPr/>
        </xdr:nvSpPr>
        <xdr:spPr>
          <a:xfrm>
            <a:off x="3683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0" name="$B$2">
            <a:extLst>
              <a:ext uri="{FF2B5EF4-FFF2-40B4-BE49-F238E27FC236}">
                <a16:creationId xmlns:a16="http://schemas.microsoft.com/office/drawing/2014/main" id="{2AE2E24E-303E-49D8-BEA4-8D7ACB062045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1" name="$B$2">
            <a:extLst>
              <a:ext uri="{FF2B5EF4-FFF2-40B4-BE49-F238E27FC236}">
                <a16:creationId xmlns:a16="http://schemas.microsoft.com/office/drawing/2014/main" id="{6E690D3A-C0D6-4C17-8E0A-8E3EB48835FD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2" name="$B$2">
            <a:extLst>
              <a:ext uri="{FF2B5EF4-FFF2-40B4-BE49-F238E27FC236}">
                <a16:creationId xmlns:a16="http://schemas.microsoft.com/office/drawing/2014/main" id="{F72ADC57-F43D-4615-938C-609387EC5CD3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3" name="$B$2">
            <a:extLst>
              <a:ext uri="{FF2B5EF4-FFF2-40B4-BE49-F238E27FC236}">
                <a16:creationId xmlns:a16="http://schemas.microsoft.com/office/drawing/2014/main" id="{5BFF5AF2-B167-4506-8F78-5658DD334ACE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4" name="$B$2">
            <a:extLst>
              <a:ext uri="{FF2B5EF4-FFF2-40B4-BE49-F238E27FC236}">
                <a16:creationId xmlns:a16="http://schemas.microsoft.com/office/drawing/2014/main" id="{B308C532-D926-4216-BB28-B147C5D28D91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5" name="$B$2">
            <a:extLst>
              <a:ext uri="{FF2B5EF4-FFF2-40B4-BE49-F238E27FC236}">
                <a16:creationId xmlns:a16="http://schemas.microsoft.com/office/drawing/2014/main" id="{C88FD80B-E591-4CD8-B8BD-CE38702F955E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6" name="$B$2">
            <a:extLst>
              <a:ext uri="{FF2B5EF4-FFF2-40B4-BE49-F238E27FC236}">
                <a16:creationId xmlns:a16="http://schemas.microsoft.com/office/drawing/2014/main" id="{9AC2A834-F076-4D2A-A4B6-EA5ACB653B74}"/>
              </a:ext>
            </a:extLst>
          </xdr:cNvPr>
          <xdr:cNvSpPr/>
        </xdr:nvSpPr>
        <xdr:spPr>
          <a:xfrm>
            <a:off x="635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228841</xdr:colOff>
      <xdr:row>2</xdr:row>
      <xdr:rowOff>0</xdr:rowOff>
    </xdr:from>
    <xdr:to>
      <xdr:col>1</xdr:col>
      <xdr:colOff>2186700</xdr:colOff>
      <xdr:row>3</xdr:row>
      <xdr:rowOff>0</xdr:rowOff>
    </xdr:to>
    <xdr:grpSp>
      <xdr:nvGrpSpPr>
        <xdr:cNvPr id="298" name="$B$3" descr="Linear barcode, 95 modules" title="11112311123122222211123222111111123114113211321132111411111">
          <a:extLst>
            <a:ext uri="{FF2B5EF4-FFF2-40B4-BE49-F238E27FC236}">
              <a16:creationId xmlns:a16="http://schemas.microsoft.com/office/drawing/2014/main" id="{89751EFA-11E7-487F-812A-DAB05BB6AC94}"/>
            </a:ext>
          </a:extLst>
        </xdr:cNvPr>
        <xdr:cNvGrpSpPr>
          <a:grpSpLocks noChangeAspect="1"/>
        </xdr:cNvGrpSpPr>
      </xdr:nvGrpSpPr>
      <xdr:grpSpPr>
        <a:xfrm>
          <a:off x="1265161" y="731520"/>
          <a:ext cx="1957859" cy="365760"/>
          <a:chOff x="0" y="12700"/>
          <a:chExt cx="1206500" cy="12700"/>
        </a:xfrm>
        <a:solidFill>
          <a:srgbClr val="000000"/>
        </a:solidFill>
      </xdr:grpSpPr>
      <xdr:sp macro="" textlink="">
        <xdr:nvSpPr>
          <xdr:cNvPr id="268" name="$B$3">
            <a:extLst>
              <a:ext uri="{FF2B5EF4-FFF2-40B4-BE49-F238E27FC236}">
                <a16:creationId xmlns:a16="http://schemas.microsoft.com/office/drawing/2014/main" id="{B4AF8ABA-B099-49F5-8040-32511B74B50F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9" name="$B$3">
            <a:extLst>
              <a:ext uri="{FF2B5EF4-FFF2-40B4-BE49-F238E27FC236}">
                <a16:creationId xmlns:a16="http://schemas.microsoft.com/office/drawing/2014/main" id="{65D39F68-AB3C-4B1C-AFAD-F28F26D13AAE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0" name="$B$3">
            <a:extLst>
              <a:ext uri="{FF2B5EF4-FFF2-40B4-BE49-F238E27FC236}">
                <a16:creationId xmlns:a16="http://schemas.microsoft.com/office/drawing/2014/main" id="{C64ABC75-F7BF-4341-940E-2C15A2E8AB41}"/>
              </a:ext>
            </a:extLst>
          </xdr:cNvPr>
          <xdr:cNvSpPr/>
        </xdr:nvSpPr>
        <xdr:spPr>
          <a:xfrm>
            <a:off x="508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1" name="$B$3">
            <a:extLst>
              <a:ext uri="{FF2B5EF4-FFF2-40B4-BE49-F238E27FC236}">
                <a16:creationId xmlns:a16="http://schemas.microsoft.com/office/drawing/2014/main" id="{CAD00A16-4C16-423E-9006-A49858C0EB1F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2" name="$B$3">
            <a:extLst>
              <a:ext uri="{FF2B5EF4-FFF2-40B4-BE49-F238E27FC236}">
                <a16:creationId xmlns:a16="http://schemas.microsoft.com/office/drawing/2014/main" id="{A4E888FC-606C-4459-92D4-8D533033D03C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3" name="$B$3">
            <a:extLst>
              <a:ext uri="{FF2B5EF4-FFF2-40B4-BE49-F238E27FC236}">
                <a16:creationId xmlns:a16="http://schemas.microsoft.com/office/drawing/2014/main" id="{CB8DE52E-71E2-4704-95AF-5B5944E638DC}"/>
              </a:ext>
            </a:extLst>
          </xdr:cNvPr>
          <xdr:cNvSpPr/>
        </xdr:nvSpPr>
        <xdr:spPr>
          <a:xfrm>
            <a:off x="177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4" name="$B$3">
            <a:extLst>
              <a:ext uri="{FF2B5EF4-FFF2-40B4-BE49-F238E27FC236}">
                <a16:creationId xmlns:a16="http://schemas.microsoft.com/office/drawing/2014/main" id="{5A870467-6E95-4A42-A8FC-447240ECB717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5" name="$B$3">
            <a:extLst>
              <a:ext uri="{FF2B5EF4-FFF2-40B4-BE49-F238E27FC236}">
                <a16:creationId xmlns:a16="http://schemas.microsoft.com/office/drawing/2014/main" id="{61D6700F-2781-4B7B-9614-AD6A0528607D}"/>
              </a:ext>
            </a:extLst>
          </xdr:cNvPr>
          <xdr:cNvSpPr/>
        </xdr:nvSpPr>
        <xdr:spPr>
          <a:xfrm>
            <a:off x="279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6" name="$B$3">
            <a:extLst>
              <a:ext uri="{FF2B5EF4-FFF2-40B4-BE49-F238E27FC236}">
                <a16:creationId xmlns:a16="http://schemas.microsoft.com/office/drawing/2014/main" id="{37129108-E339-4282-8212-8DC0C954405E}"/>
              </a:ext>
            </a:extLst>
          </xdr:cNvPr>
          <xdr:cNvSpPr/>
        </xdr:nvSpPr>
        <xdr:spPr>
          <a:xfrm>
            <a:off x="330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7" name="$B$3">
            <a:extLst>
              <a:ext uri="{FF2B5EF4-FFF2-40B4-BE49-F238E27FC236}">
                <a16:creationId xmlns:a16="http://schemas.microsoft.com/office/drawing/2014/main" id="{2D3E3A4E-DD59-4014-BA7C-33F14A251214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8" name="$B$3">
            <a:extLst>
              <a:ext uri="{FF2B5EF4-FFF2-40B4-BE49-F238E27FC236}">
                <a16:creationId xmlns:a16="http://schemas.microsoft.com/office/drawing/2014/main" id="{EECA113D-120C-4D62-BD9B-5616A2760F78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9" name="$B$3">
            <a:extLst>
              <a:ext uri="{FF2B5EF4-FFF2-40B4-BE49-F238E27FC236}">
                <a16:creationId xmlns:a16="http://schemas.microsoft.com/office/drawing/2014/main" id="{B602AC6B-3ACC-4073-88E0-8F61799958AC}"/>
              </a:ext>
            </a:extLst>
          </xdr:cNvPr>
          <xdr:cNvSpPr/>
        </xdr:nvSpPr>
        <xdr:spPr>
          <a:xfrm>
            <a:off x="4445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0" name="$B$3">
            <a:extLst>
              <a:ext uri="{FF2B5EF4-FFF2-40B4-BE49-F238E27FC236}">
                <a16:creationId xmlns:a16="http://schemas.microsoft.com/office/drawing/2014/main" id="{AF9EC2FE-07FF-4326-ABB3-6153311AD2E4}"/>
              </a:ext>
            </a:extLst>
          </xdr:cNvPr>
          <xdr:cNvSpPr/>
        </xdr:nvSpPr>
        <xdr:spPr>
          <a:xfrm>
            <a:off x="508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1" name="$B$3">
            <a:extLst>
              <a:ext uri="{FF2B5EF4-FFF2-40B4-BE49-F238E27FC236}">
                <a16:creationId xmlns:a16="http://schemas.microsoft.com/office/drawing/2014/main" id="{F60A4B1B-E39C-4ACE-BFFC-76251848DCE7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2" name="$B$3">
            <a:extLst>
              <a:ext uri="{FF2B5EF4-FFF2-40B4-BE49-F238E27FC236}">
                <a16:creationId xmlns:a16="http://schemas.microsoft.com/office/drawing/2014/main" id="{2CE51CD3-7CDF-4AA1-8BCF-589BFDAF33BD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3" name="$B$3">
            <a:extLst>
              <a:ext uri="{FF2B5EF4-FFF2-40B4-BE49-F238E27FC236}">
                <a16:creationId xmlns:a16="http://schemas.microsoft.com/office/drawing/2014/main" id="{7E93F2B9-5C84-4DA3-80E8-0D7470819BA6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" name="$B$3">
            <a:extLst>
              <a:ext uri="{FF2B5EF4-FFF2-40B4-BE49-F238E27FC236}">
                <a16:creationId xmlns:a16="http://schemas.microsoft.com/office/drawing/2014/main" id="{21B75351-2B51-4286-91F0-0727110E3E9D}"/>
              </a:ext>
            </a:extLst>
          </xdr:cNvPr>
          <xdr:cNvSpPr/>
        </xdr:nvSpPr>
        <xdr:spPr>
          <a:xfrm>
            <a:off x="635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" name="$B$3">
            <a:extLst>
              <a:ext uri="{FF2B5EF4-FFF2-40B4-BE49-F238E27FC236}">
                <a16:creationId xmlns:a16="http://schemas.microsoft.com/office/drawing/2014/main" id="{604CB57B-1E0F-46BD-A5CC-E5A9ACB7C83E}"/>
              </a:ext>
            </a:extLst>
          </xdr:cNvPr>
          <xdr:cNvSpPr/>
        </xdr:nvSpPr>
        <xdr:spPr>
          <a:xfrm>
            <a:off x="6731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" name="$B$3">
            <a:extLst>
              <a:ext uri="{FF2B5EF4-FFF2-40B4-BE49-F238E27FC236}">
                <a16:creationId xmlns:a16="http://schemas.microsoft.com/office/drawing/2014/main" id="{558148E6-7594-419A-8425-669BE8AD459A}"/>
              </a:ext>
            </a:extLst>
          </xdr:cNvPr>
          <xdr:cNvSpPr/>
        </xdr:nvSpPr>
        <xdr:spPr>
          <a:xfrm>
            <a:off x="723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" name="$B$3">
            <a:extLst>
              <a:ext uri="{FF2B5EF4-FFF2-40B4-BE49-F238E27FC236}">
                <a16:creationId xmlns:a16="http://schemas.microsoft.com/office/drawing/2014/main" id="{AD3D88DF-1B5D-47D2-98ED-B332E2349209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" name="$B$3">
            <a:extLst>
              <a:ext uri="{FF2B5EF4-FFF2-40B4-BE49-F238E27FC236}">
                <a16:creationId xmlns:a16="http://schemas.microsoft.com/office/drawing/2014/main" id="{59E1D635-3CB2-4A65-8942-6CAF7A438AF0}"/>
              </a:ext>
            </a:extLst>
          </xdr:cNvPr>
          <xdr:cNvSpPr/>
        </xdr:nvSpPr>
        <xdr:spPr>
          <a:xfrm>
            <a:off x="812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" name="$B$3">
            <a:extLst>
              <a:ext uri="{FF2B5EF4-FFF2-40B4-BE49-F238E27FC236}">
                <a16:creationId xmlns:a16="http://schemas.microsoft.com/office/drawing/2014/main" id="{48F46139-1B6B-4358-9266-A70418648DAA}"/>
              </a:ext>
            </a:extLst>
          </xdr:cNvPr>
          <xdr:cNvSpPr/>
        </xdr:nvSpPr>
        <xdr:spPr>
          <a:xfrm>
            <a:off x="876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" name="$B$3">
            <a:extLst>
              <a:ext uri="{FF2B5EF4-FFF2-40B4-BE49-F238E27FC236}">
                <a16:creationId xmlns:a16="http://schemas.microsoft.com/office/drawing/2014/main" id="{D8413D74-1364-4827-90AC-1BB67BE9629D}"/>
              </a:ext>
            </a:extLst>
          </xdr:cNvPr>
          <xdr:cNvSpPr/>
        </xdr:nvSpPr>
        <xdr:spPr>
          <a:xfrm>
            <a:off x="9017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" name="$B$3">
            <a:extLst>
              <a:ext uri="{FF2B5EF4-FFF2-40B4-BE49-F238E27FC236}">
                <a16:creationId xmlns:a16="http://schemas.microsoft.com/office/drawing/2014/main" id="{AA249233-80FD-425C-B9EC-736E47A81812}"/>
              </a:ext>
            </a:extLst>
          </xdr:cNvPr>
          <xdr:cNvSpPr/>
        </xdr:nvSpPr>
        <xdr:spPr>
          <a:xfrm>
            <a:off x="965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" name="$B$3">
            <a:extLst>
              <a:ext uri="{FF2B5EF4-FFF2-40B4-BE49-F238E27FC236}">
                <a16:creationId xmlns:a16="http://schemas.microsoft.com/office/drawing/2014/main" id="{388BBB61-78C1-4446-B024-2A910D772563}"/>
              </a:ext>
            </a:extLst>
          </xdr:cNvPr>
          <xdr:cNvSpPr/>
        </xdr:nvSpPr>
        <xdr:spPr>
          <a:xfrm>
            <a:off x="9906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" name="$B$3">
            <a:extLst>
              <a:ext uri="{FF2B5EF4-FFF2-40B4-BE49-F238E27FC236}">
                <a16:creationId xmlns:a16="http://schemas.microsoft.com/office/drawing/2014/main" id="{3CFACFA8-0E35-4C5E-BE6D-674E7279FE0E}"/>
              </a:ext>
            </a:extLst>
          </xdr:cNvPr>
          <xdr:cNvSpPr/>
        </xdr:nvSpPr>
        <xdr:spPr>
          <a:xfrm>
            <a:off x="1054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" name="$B$3">
            <a:extLst>
              <a:ext uri="{FF2B5EF4-FFF2-40B4-BE49-F238E27FC236}">
                <a16:creationId xmlns:a16="http://schemas.microsoft.com/office/drawing/2014/main" id="{06E12F75-E580-4F92-8E7B-3C34A13C95D2}"/>
              </a:ext>
            </a:extLst>
          </xdr:cNvPr>
          <xdr:cNvSpPr/>
        </xdr:nvSpPr>
        <xdr:spPr>
          <a:xfrm>
            <a:off x="1079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" name="$B$3">
            <a:extLst>
              <a:ext uri="{FF2B5EF4-FFF2-40B4-BE49-F238E27FC236}">
                <a16:creationId xmlns:a16="http://schemas.microsoft.com/office/drawing/2014/main" id="{C57C00EB-B24D-43A3-8F90-BB3D5860D30D}"/>
              </a:ext>
            </a:extLst>
          </xdr:cNvPr>
          <xdr:cNvSpPr/>
        </xdr:nvSpPr>
        <xdr:spPr>
          <a:xfrm>
            <a:off x="1143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" name="$B$3">
            <a:extLst>
              <a:ext uri="{FF2B5EF4-FFF2-40B4-BE49-F238E27FC236}">
                <a16:creationId xmlns:a16="http://schemas.microsoft.com/office/drawing/2014/main" id="{70D979D2-F251-4191-93CC-421B17C0764D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" name="$B$3">
            <a:extLst>
              <a:ext uri="{FF2B5EF4-FFF2-40B4-BE49-F238E27FC236}">
                <a16:creationId xmlns:a16="http://schemas.microsoft.com/office/drawing/2014/main" id="{94D3833E-CA4B-4845-B25D-5441FE78F9BB}"/>
              </a:ext>
            </a:extLst>
          </xdr:cNvPr>
          <xdr:cNvSpPr/>
        </xdr:nvSpPr>
        <xdr:spPr>
          <a:xfrm>
            <a:off x="1193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324476</xdr:colOff>
      <xdr:row>3</xdr:row>
      <xdr:rowOff>0</xdr:rowOff>
    </xdr:from>
    <xdr:to>
      <xdr:col>1</xdr:col>
      <xdr:colOff>2091065</xdr:colOff>
      <xdr:row>4</xdr:row>
      <xdr:rowOff>0</xdr:rowOff>
    </xdr:to>
    <xdr:grpSp>
      <xdr:nvGrpSpPr>
        <xdr:cNvPr id="321" name="$B$4" descr="Linear barcode, 67 modules" title="1113112123132111231111113211321132111411111">
          <a:extLst>
            <a:ext uri="{FF2B5EF4-FFF2-40B4-BE49-F238E27FC236}">
              <a16:creationId xmlns:a16="http://schemas.microsoft.com/office/drawing/2014/main" id="{07D87AFF-580B-4F6A-AABE-51D596482F87}"/>
            </a:ext>
          </a:extLst>
        </xdr:cNvPr>
        <xdr:cNvGrpSpPr>
          <a:grpSpLocks noChangeAspect="1"/>
        </xdr:cNvGrpSpPr>
      </xdr:nvGrpSpPr>
      <xdr:grpSpPr>
        <a:xfrm>
          <a:off x="1360796" y="1097280"/>
          <a:ext cx="1766589" cy="365760"/>
          <a:chOff x="0" y="12700"/>
          <a:chExt cx="850900" cy="12700"/>
        </a:xfrm>
        <a:solidFill>
          <a:srgbClr val="000000"/>
        </a:solidFill>
      </xdr:grpSpPr>
      <xdr:sp macro="" textlink="">
        <xdr:nvSpPr>
          <xdr:cNvPr id="299" name="$B$4">
            <a:extLst>
              <a:ext uri="{FF2B5EF4-FFF2-40B4-BE49-F238E27FC236}">
                <a16:creationId xmlns:a16="http://schemas.microsoft.com/office/drawing/2014/main" id="{63543C80-4C62-42AB-8A7A-91EFD29FEF93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" name="$B$4">
            <a:extLst>
              <a:ext uri="{FF2B5EF4-FFF2-40B4-BE49-F238E27FC236}">
                <a16:creationId xmlns:a16="http://schemas.microsoft.com/office/drawing/2014/main" id="{A47D692E-BD8C-4127-AAED-EE549A464725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" name="$B$4">
            <a:extLst>
              <a:ext uri="{FF2B5EF4-FFF2-40B4-BE49-F238E27FC236}">
                <a16:creationId xmlns:a16="http://schemas.microsoft.com/office/drawing/2014/main" id="{190837CE-49C5-4AA3-8B52-5432B1CE854F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2" name="$B$4">
            <a:extLst>
              <a:ext uri="{FF2B5EF4-FFF2-40B4-BE49-F238E27FC236}">
                <a16:creationId xmlns:a16="http://schemas.microsoft.com/office/drawing/2014/main" id="{066EA669-53C6-4F79-996F-1B3CD9F5A6C0}"/>
              </a:ext>
            </a:extLst>
          </xdr:cNvPr>
          <xdr:cNvSpPr/>
        </xdr:nvSpPr>
        <xdr:spPr>
          <a:xfrm>
            <a:off x="101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3" name="$B$4">
            <a:extLst>
              <a:ext uri="{FF2B5EF4-FFF2-40B4-BE49-F238E27FC236}">
                <a16:creationId xmlns:a16="http://schemas.microsoft.com/office/drawing/2014/main" id="{A92254F5-7B40-4AC2-9623-9ED6D1A61EE9}"/>
              </a:ext>
            </a:extLst>
          </xdr:cNvPr>
          <xdr:cNvSpPr/>
        </xdr:nvSpPr>
        <xdr:spPr>
          <a:xfrm>
            <a:off x="1397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4" name="$B$4">
            <a:extLst>
              <a:ext uri="{FF2B5EF4-FFF2-40B4-BE49-F238E27FC236}">
                <a16:creationId xmlns:a16="http://schemas.microsoft.com/office/drawing/2014/main" id="{51838ABD-07B3-4F85-AA4E-CC7E292F3412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5" name="$B$4">
            <a:extLst>
              <a:ext uri="{FF2B5EF4-FFF2-40B4-BE49-F238E27FC236}">
                <a16:creationId xmlns:a16="http://schemas.microsoft.com/office/drawing/2014/main" id="{40BDE598-CD19-4951-9269-EEE717762194}"/>
              </a:ext>
            </a:extLst>
          </xdr:cNvPr>
          <xdr:cNvSpPr/>
        </xdr:nvSpPr>
        <xdr:spPr>
          <a:xfrm>
            <a:off x="254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6" name="$B$4">
            <a:extLst>
              <a:ext uri="{FF2B5EF4-FFF2-40B4-BE49-F238E27FC236}">
                <a16:creationId xmlns:a16="http://schemas.microsoft.com/office/drawing/2014/main" id="{D8419532-0DC8-4649-9BDB-FD8B6B23F64D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7" name="$B$4">
            <a:extLst>
              <a:ext uri="{FF2B5EF4-FFF2-40B4-BE49-F238E27FC236}">
                <a16:creationId xmlns:a16="http://schemas.microsoft.com/office/drawing/2014/main" id="{3312A663-46E8-4DD4-960B-D57086589FF3}"/>
              </a:ext>
            </a:extLst>
          </xdr:cNvPr>
          <xdr:cNvSpPr/>
        </xdr:nvSpPr>
        <xdr:spPr>
          <a:xfrm>
            <a:off x="317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8" name="$B$4">
            <a:extLst>
              <a:ext uri="{FF2B5EF4-FFF2-40B4-BE49-F238E27FC236}">
                <a16:creationId xmlns:a16="http://schemas.microsoft.com/office/drawing/2014/main" id="{C0585AF6-FE64-44F4-9436-E280C42722BC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9" name="$B$4">
            <a:extLst>
              <a:ext uri="{FF2B5EF4-FFF2-40B4-BE49-F238E27FC236}">
                <a16:creationId xmlns:a16="http://schemas.microsoft.com/office/drawing/2014/main" id="{C531E0E8-B28C-4383-8901-FAA4439D8EB7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0" name="$B$4">
            <a:extLst>
              <a:ext uri="{FF2B5EF4-FFF2-40B4-BE49-F238E27FC236}">
                <a16:creationId xmlns:a16="http://schemas.microsoft.com/office/drawing/2014/main" id="{E606AA48-126A-4771-8D97-8CC6DCCDF86F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1" name="$B$4">
            <a:extLst>
              <a:ext uri="{FF2B5EF4-FFF2-40B4-BE49-F238E27FC236}">
                <a16:creationId xmlns:a16="http://schemas.microsoft.com/office/drawing/2014/main" id="{F7AEA565-607D-40F2-886E-DF58379AA044}"/>
              </a:ext>
            </a:extLst>
          </xdr:cNvPr>
          <xdr:cNvSpPr/>
        </xdr:nvSpPr>
        <xdr:spPr>
          <a:xfrm>
            <a:off x="4572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2" name="$B$4">
            <a:extLst>
              <a:ext uri="{FF2B5EF4-FFF2-40B4-BE49-F238E27FC236}">
                <a16:creationId xmlns:a16="http://schemas.microsoft.com/office/drawing/2014/main" id="{4DD9F6BA-C81F-4359-85E2-305AE53743CF}"/>
              </a:ext>
            </a:extLst>
          </xdr:cNvPr>
          <xdr:cNvSpPr/>
        </xdr:nvSpPr>
        <xdr:spPr>
          <a:xfrm>
            <a:off x="520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3" name="$B$4">
            <a:extLst>
              <a:ext uri="{FF2B5EF4-FFF2-40B4-BE49-F238E27FC236}">
                <a16:creationId xmlns:a16="http://schemas.microsoft.com/office/drawing/2014/main" id="{4D9569F5-A372-4074-B048-320E3AD07BD3}"/>
              </a:ext>
            </a:extLst>
          </xdr:cNvPr>
          <xdr:cNvSpPr/>
        </xdr:nvSpPr>
        <xdr:spPr>
          <a:xfrm>
            <a:off x="5461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4" name="$B$4">
            <a:extLst>
              <a:ext uri="{FF2B5EF4-FFF2-40B4-BE49-F238E27FC236}">
                <a16:creationId xmlns:a16="http://schemas.microsoft.com/office/drawing/2014/main" id="{EAEACF3D-E3C0-4088-95FD-CCD6F55980A5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5" name="$B$4">
            <a:extLst>
              <a:ext uri="{FF2B5EF4-FFF2-40B4-BE49-F238E27FC236}">
                <a16:creationId xmlns:a16="http://schemas.microsoft.com/office/drawing/2014/main" id="{A2B4B726-511A-4AA3-AA45-EE33994659AB}"/>
              </a:ext>
            </a:extLst>
          </xdr:cNvPr>
          <xdr:cNvSpPr/>
        </xdr:nvSpPr>
        <xdr:spPr>
          <a:xfrm>
            <a:off x="6350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6" name="$B$4">
            <a:extLst>
              <a:ext uri="{FF2B5EF4-FFF2-40B4-BE49-F238E27FC236}">
                <a16:creationId xmlns:a16="http://schemas.microsoft.com/office/drawing/2014/main" id="{DAC20B76-E100-4B51-9A8D-90CAB5DB58D9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7" name="$B$4">
            <a:extLst>
              <a:ext uri="{FF2B5EF4-FFF2-40B4-BE49-F238E27FC236}">
                <a16:creationId xmlns:a16="http://schemas.microsoft.com/office/drawing/2014/main" id="{E1904E51-72B2-4D7D-AAE2-2ED00281D5F5}"/>
              </a:ext>
            </a:extLst>
          </xdr:cNvPr>
          <xdr:cNvSpPr/>
        </xdr:nvSpPr>
        <xdr:spPr>
          <a:xfrm>
            <a:off x="723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8" name="$B$4">
            <a:extLst>
              <a:ext uri="{FF2B5EF4-FFF2-40B4-BE49-F238E27FC236}">
                <a16:creationId xmlns:a16="http://schemas.microsoft.com/office/drawing/2014/main" id="{A7A990BD-C6FE-4970-8AA5-BC4E40BFA677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9" name="$B$4">
            <a:extLst>
              <a:ext uri="{FF2B5EF4-FFF2-40B4-BE49-F238E27FC236}">
                <a16:creationId xmlns:a16="http://schemas.microsoft.com/office/drawing/2014/main" id="{213A9591-65E9-406A-9B65-49585080380D}"/>
              </a:ext>
            </a:extLst>
          </xdr:cNvPr>
          <xdr:cNvSpPr/>
        </xdr:nvSpPr>
        <xdr:spPr>
          <a:xfrm>
            <a:off x="812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0" name="$B$4">
            <a:extLst>
              <a:ext uri="{FF2B5EF4-FFF2-40B4-BE49-F238E27FC236}">
                <a16:creationId xmlns:a16="http://schemas.microsoft.com/office/drawing/2014/main" id="{A7A02EA6-AF57-4E45-B8F9-0EBAD7AD90CC}"/>
              </a:ext>
            </a:extLst>
          </xdr:cNvPr>
          <xdr:cNvSpPr/>
        </xdr:nvSpPr>
        <xdr:spPr>
          <a:xfrm>
            <a:off x="838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462550</xdr:colOff>
      <xdr:row>4</xdr:row>
      <xdr:rowOff>0</xdr:rowOff>
    </xdr:from>
    <xdr:to>
      <xdr:col>1</xdr:col>
      <xdr:colOff>1952990</xdr:colOff>
      <xdr:row>5</xdr:row>
      <xdr:rowOff>0</xdr:rowOff>
    </xdr:to>
    <xdr:grpSp>
      <xdr:nvGrpSpPr>
        <xdr:cNvPr id="338" name="$B$5" descr="Linear barcode, 47 modules" title="1121231111132112311113112111321">
          <a:extLst>
            <a:ext uri="{FF2B5EF4-FFF2-40B4-BE49-F238E27FC236}">
              <a16:creationId xmlns:a16="http://schemas.microsoft.com/office/drawing/2014/main" id="{AB6F8431-DC89-4024-9FE7-B126203E4C6F}"/>
            </a:ext>
          </a:extLst>
        </xdr:cNvPr>
        <xdr:cNvGrpSpPr>
          <a:grpSpLocks noChangeAspect="1"/>
        </xdr:cNvGrpSpPr>
      </xdr:nvGrpSpPr>
      <xdr:grpSpPr>
        <a:xfrm>
          <a:off x="1498870" y="1463040"/>
          <a:ext cx="1490440" cy="365760"/>
          <a:chOff x="0" y="12700"/>
          <a:chExt cx="596900" cy="12700"/>
        </a:xfrm>
        <a:solidFill>
          <a:srgbClr val="000000"/>
        </a:solidFill>
      </xdr:grpSpPr>
      <xdr:sp macro="" textlink="">
        <xdr:nvSpPr>
          <xdr:cNvPr id="322" name="$B$5">
            <a:extLst>
              <a:ext uri="{FF2B5EF4-FFF2-40B4-BE49-F238E27FC236}">
                <a16:creationId xmlns:a16="http://schemas.microsoft.com/office/drawing/2014/main" id="{486D8610-A7B7-4B58-8FB2-4D01C857A45F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3" name="$B$5">
            <a:extLst>
              <a:ext uri="{FF2B5EF4-FFF2-40B4-BE49-F238E27FC236}">
                <a16:creationId xmlns:a16="http://schemas.microsoft.com/office/drawing/2014/main" id="{FF875F03-A7A8-41B6-A3BF-DAA8244E509F}"/>
              </a:ext>
            </a:extLst>
          </xdr:cNvPr>
          <xdr:cNvSpPr/>
        </xdr:nvSpPr>
        <xdr:spPr>
          <a:xfrm>
            <a:off x="25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4" name="$B$5">
            <a:extLst>
              <a:ext uri="{FF2B5EF4-FFF2-40B4-BE49-F238E27FC236}">
                <a16:creationId xmlns:a16="http://schemas.microsoft.com/office/drawing/2014/main" id="{A90FD2DE-FE53-43E7-AF8C-0E6205800744}"/>
              </a:ext>
            </a:extLst>
          </xdr:cNvPr>
          <xdr:cNvSpPr/>
        </xdr:nvSpPr>
        <xdr:spPr>
          <a:xfrm>
            <a:off x="63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5" name="$B$5">
            <a:extLst>
              <a:ext uri="{FF2B5EF4-FFF2-40B4-BE49-F238E27FC236}">
                <a16:creationId xmlns:a16="http://schemas.microsoft.com/office/drawing/2014/main" id="{96E7D28D-297B-4D21-B2F2-2C3B43807FAE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6" name="$B$5">
            <a:extLst>
              <a:ext uri="{FF2B5EF4-FFF2-40B4-BE49-F238E27FC236}">
                <a16:creationId xmlns:a16="http://schemas.microsoft.com/office/drawing/2014/main" id="{389FB4E8-575F-4EFD-BE94-2CCBF2C36694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7" name="$B$5">
            <a:extLst>
              <a:ext uri="{FF2B5EF4-FFF2-40B4-BE49-F238E27FC236}">
                <a16:creationId xmlns:a16="http://schemas.microsoft.com/office/drawing/2014/main" id="{F5B6643E-3696-4B99-B94B-236FF87267B9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8" name="$B$5">
            <a:extLst>
              <a:ext uri="{FF2B5EF4-FFF2-40B4-BE49-F238E27FC236}">
                <a16:creationId xmlns:a16="http://schemas.microsoft.com/office/drawing/2014/main" id="{A46DC79D-AF4F-4573-9BA2-5DB800190A25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9" name="$B$5">
            <a:extLst>
              <a:ext uri="{FF2B5EF4-FFF2-40B4-BE49-F238E27FC236}">
                <a16:creationId xmlns:a16="http://schemas.microsoft.com/office/drawing/2014/main" id="{0CC62601-4E68-4A28-905E-1D103CEFA78D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0" name="$B$5">
            <a:extLst>
              <a:ext uri="{FF2B5EF4-FFF2-40B4-BE49-F238E27FC236}">
                <a16:creationId xmlns:a16="http://schemas.microsoft.com/office/drawing/2014/main" id="{CA611938-33FD-49A8-999F-BF4010EC8211}"/>
              </a:ext>
            </a:extLst>
          </xdr:cNvPr>
          <xdr:cNvSpPr/>
        </xdr:nvSpPr>
        <xdr:spPr>
          <a:xfrm>
            <a:off x="304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1" name="$B$5">
            <a:extLst>
              <a:ext uri="{FF2B5EF4-FFF2-40B4-BE49-F238E27FC236}">
                <a16:creationId xmlns:a16="http://schemas.microsoft.com/office/drawing/2014/main" id="{D07F0A3D-2C29-4764-B918-2D6F862F4AE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2" name="$B$5">
            <a:extLst>
              <a:ext uri="{FF2B5EF4-FFF2-40B4-BE49-F238E27FC236}">
                <a16:creationId xmlns:a16="http://schemas.microsoft.com/office/drawing/2014/main" id="{6E398461-9EB8-453E-ADF6-4E17D11477C4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3" name="$B$5">
            <a:extLst>
              <a:ext uri="{FF2B5EF4-FFF2-40B4-BE49-F238E27FC236}">
                <a16:creationId xmlns:a16="http://schemas.microsoft.com/office/drawing/2014/main" id="{015FDF13-9ADA-473A-A21D-092542080CB2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4" name="$B$5">
            <a:extLst>
              <a:ext uri="{FF2B5EF4-FFF2-40B4-BE49-F238E27FC236}">
                <a16:creationId xmlns:a16="http://schemas.microsoft.com/office/drawing/2014/main" id="{87B21618-781B-4188-90A3-630B8A5BFA70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5" name="$B$5">
            <a:extLst>
              <a:ext uri="{FF2B5EF4-FFF2-40B4-BE49-F238E27FC236}">
                <a16:creationId xmlns:a16="http://schemas.microsoft.com/office/drawing/2014/main" id="{6471CE3D-C806-4102-927A-A31BBADBFE9F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6" name="$B$5">
            <a:extLst>
              <a:ext uri="{FF2B5EF4-FFF2-40B4-BE49-F238E27FC236}">
                <a16:creationId xmlns:a16="http://schemas.microsoft.com/office/drawing/2014/main" id="{B78E9476-EDA2-4479-8193-1967340507D2}"/>
              </a:ext>
            </a:extLst>
          </xdr:cNvPr>
          <xdr:cNvSpPr/>
        </xdr:nvSpPr>
        <xdr:spPr>
          <a:xfrm>
            <a:off x="5207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7" name="$B$5">
            <a:extLst>
              <a:ext uri="{FF2B5EF4-FFF2-40B4-BE49-F238E27FC236}">
                <a16:creationId xmlns:a16="http://schemas.microsoft.com/office/drawing/2014/main" id="{26DB9FD8-56F6-4BE1-8134-4672555F82D7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1086993</xdr:colOff>
      <xdr:row>5</xdr:row>
      <xdr:rowOff>0</xdr:rowOff>
    </xdr:from>
    <xdr:to>
      <xdr:col>1</xdr:col>
      <xdr:colOff>1328547</xdr:colOff>
      <xdr:row>6</xdr:row>
      <xdr:rowOff>0</xdr:rowOff>
    </xdr:to>
    <xdr:grpSp>
      <xdr:nvGrpSpPr>
        <xdr:cNvPr id="346" name="$B$6" descr="Linear barcode, 20 modules" title="1123211111321">
          <a:extLst>
            <a:ext uri="{FF2B5EF4-FFF2-40B4-BE49-F238E27FC236}">
              <a16:creationId xmlns:a16="http://schemas.microsoft.com/office/drawing/2014/main" id="{1C0D3BA9-77D7-4838-934E-64772E1369C8}"/>
            </a:ext>
          </a:extLst>
        </xdr:cNvPr>
        <xdr:cNvGrpSpPr>
          <a:grpSpLocks noChangeAspect="1"/>
        </xdr:cNvGrpSpPr>
      </xdr:nvGrpSpPr>
      <xdr:grpSpPr>
        <a:xfrm>
          <a:off x="2123313" y="1828800"/>
          <a:ext cx="241554" cy="365760"/>
          <a:chOff x="0" y="12700"/>
          <a:chExt cx="254000" cy="12700"/>
        </a:xfrm>
        <a:solidFill>
          <a:srgbClr val="000000"/>
        </a:solidFill>
      </xdr:grpSpPr>
      <xdr:sp macro="" textlink="">
        <xdr:nvSpPr>
          <xdr:cNvPr id="339" name="$B$6">
            <a:extLst>
              <a:ext uri="{FF2B5EF4-FFF2-40B4-BE49-F238E27FC236}">
                <a16:creationId xmlns:a16="http://schemas.microsoft.com/office/drawing/2014/main" id="{2C12E6FE-6703-4795-96B0-6D1E9AFF118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0" name="$B$6">
            <a:extLst>
              <a:ext uri="{FF2B5EF4-FFF2-40B4-BE49-F238E27FC236}">
                <a16:creationId xmlns:a16="http://schemas.microsoft.com/office/drawing/2014/main" id="{8A47002E-D460-440F-9792-C999CE4DB81C}"/>
              </a:ext>
            </a:extLst>
          </xdr:cNvPr>
          <xdr:cNvSpPr/>
        </xdr:nvSpPr>
        <xdr:spPr>
          <a:xfrm>
            <a:off x="25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1" name="$B$6">
            <a:extLst>
              <a:ext uri="{FF2B5EF4-FFF2-40B4-BE49-F238E27FC236}">
                <a16:creationId xmlns:a16="http://schemas.microsoft.com/office/drawing/2014/main" id="{C0754EB3-6D3D-433E-8111-B463F2D8FBB1}"/>
              </a:ext>
            </a:extLst>
          </xdr:cNvPr>
          <xdr:cNvSpPr/>
        </xdr:nvSpPr>
        <xdr:spPr>
          <a:xfrm>
            <a:off x="889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2" name="$B$6">
            <a:extLst>
              <a:ext uri="{FF2B5EF4-FFF2-40B4-BE49-F238E27FC236}">
                <a16:creationId xmlns:a16="http://schemas.microsoft.com/office/drawing/2014/main" id="{BBD103BA-F480-489C-8CF6-0658E6494F50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3" name="$B$6">
            <a:extLst>
              <a:ext uri="{FF2B5EF4-FFF2-40B4-BE49-F238E27FC236}">
                <a16:creationId xmlns:a16="http://schemas.microsoft.com/office/drawing/2014/main" id="{51B58D25-F59C-43BD-A52E-9A0D22617F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4" name="$B$6">
            <a:extLst>
              <a:ext uri="{FF2B5EF4-FFF2-40B4-BE49-F238E27FC236}">
                <a16:creationId xmlns:a16="http://schemas.microsoft.com/office/drawing/2014/main" id="{AC6AEAEA-080E-4EC4-8C12-91BDCE4A9AEB}"/>
              </a:ext>
            </a:extLst>
          </xdr:cNvPr>
          <xdr:cNvSpPr/>
        </xdr:nvSpPr>
        <xdr:spPr>
          <a:xfrm>
            <a:off x="177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5" name="$B$6">
            <a:extLst>
              <a:ext uri="{FF2B5EF4-FFF2-40B4-BE49-F238E27FC236}">
                <a16:creationId xmlns:a16="http://schemas.microsoft.com/office/drawing/2014/main" id="{EFD0C476-6CEB-4C0E-A85D-0C8F6A19460F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334460</xdr:colOff>
      <xdr:row>6</xdr:row>
      <xdr:rowOff>0</xdr:rowOff>
    </xdr:from>
    <xdr:to>
      <xdr:col>1</xdr:col>
      <xdr:colOff>2081081</xdr:colOff>
      <xdr:row>7</xdr:row>
      <xdr:rowOff>0</xdr:rowOff>
    </xdr:to>
    <xdr:grpSp>
      <xdr:nvGrpSpPr>
        <xdr:cNvPr id="372" name="$B$7" descr="Linear barcode, 65 modules" title="12112121112111121121112112112121211211111211212111">
          <a:extLst>
            <a:ext uri="{FF2B5EF4-FFF2-40B4-BE49-F238E27FC236}">
              <a16:creationId xmlns:a16="http://schemas.microsoft.com/office/drawing/2014/main" id="{C8D0EA33-DE72-4EB4-97C7-B7248BB4E5CD}"/>
            </a:ext>
          </a:extLst>
        </xdr:cNvPr>
        <xdr:cNvGrpSpPr>
          <a:grpSpLocks noChangeAspect="1"/>
        </xdr:cNvGrpSpPr>
      </xdr:nvGrpSpPr>
      <xdr:grpSpPr>
        <a:xfrm>
          <a:off x="1370780" y="2194560"/>
          <a:ext cx="1746621" cy="365760"/>
          <a:chOff x="0" y="12700"/>
          <a:chExt cx="812800" cy="12700"/>
        </a:xfrm>
        <a:solidFill>
          <a:srgbClr val="000000"/>
        </a:solidFill>
      </xdr:grpSpPr>
      <xdr:sp macro="" textlink="">
        <xdr:nvSpPr>
          <xdr:cNvPr id="347" name="$B$7">
            <a:extLst>
              <a:ext uri="{FF2B5EF4-FFF2-40B4-BE49-F238E27FC236}">
                <a16:creationId xmlns:a16="http://schemas.microsoft.com/office/drawing/2014/main" id="{5887F886-04DB-4DD3-80F9-DDE5C62800A9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8" name="$B$7">
            <a:extLst>
              <a:ext uri="{FF2B5EF4-FFF2-40B4-BE49-F238E27FC236}">
                <a16:creationId xmlns:a16="http://schemas.microsoft.com/office/drawing/2014/main" id="{0A48E3C0-DCDC-4D64-8892-25416CBBD2B8}"/>
              </a:ext>
            </a:extLst>
          </xdr:cNvPr>
          <xdr:cNvSpPr/>
        </xdr:nvSpPr>
        <xdr:spPr>
          <a:xfrm>
            <a:off x="38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9" name="$B$7">
            <a:extLst>
              <a:ext uri="{FF2B5EF4-FFF2-40B4-BE49-F238E27FC236}">
                <a16:creationId xmlns:a16="http://schemas.microsoft.com/office/drawing/2014/main" id="{3DDB5106-9A25-436E-ABD3-D9423D85BD32}"/>
              </a:ext>
            </a:extLst>
          </xdr:cNvPr>
          <xdr:cNvSpPr/>
        </xdr:nvSpPr>
        <xdr:spPr>
          <a:xfrm>
            <a:off x="63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0" name="$B$7">
            <a:extLst>
              <a:ext uri="{FF2B5EF4-FFF2-40B4-BE49-F238E27FC236}">
                <a16:creationId xmlns:a16="http://schemas.microsoft.com/office/drawing/2014/main" id="{FCE366D5-F670-4BDE-8559-6C85117169D9}"/>
              </a:ext>
            </a:extLst>
          </xdr:cNvPr>
          <xdr:cNvSpPr/>
        </xdr:nvSpPr>
        <xdr:spPr>
          <a:xfrm>
            <a:off x="101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1" name="$B$7">
            <a:extLst>
              <a:ext uri="{FF2B5EF4-FFF2-40B4-BE49-F238E27FC236}">
                <a16:creationId xmlns:a16="http://schemas.microsoft.com/office/drawing/2014/main" id="{0F4CE44C-6810-432F-9BD0-E78F04CBE98F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2" name="$B$7">
            <a:extLst>
              <a:ext uri="{FF2B5EF4-FFF2-40B4-BE49-F238E27FC236}">
                <a16:creationId xmlns:a16="http://schemas.microsoft.com/office/drawing/2014/main" id="{B44E8FEB-88C7-4FB6-9E37-622F23DAF560}"/>
              </a:ext>
            </a:extLst>
          </xdr:cNvPr>
          <xdr:cNvSpPr/>
        </xdr:nvSpPr>
        <xdr:spPr>
          <a:xfrm>
            <a:off x="1651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3" name="$B$7">
            <a:extLst>
              <a:ext uri="{FF2B5EF4-FFF2-40B4-BE49-F238E27FC236}">
                <a16:creationId xmlns:a16="http://schemas.microsoft.com/office/drawing/2014/main" id="{68A1669A-6266-465D-802F-6C748DE273E8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4" name="$B$7">
            <a:extLst>
              <a:ext uri="{FF2B5EF4-FFF2-40B4-BE49-F238E27FC236}">
                <a16:creationId xmlns:a16="http://schemas.microsoft.com/office/drawing/2014/main" id="{7C445EDE-FEA2-4068-81B3-22C9206CBF90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5" name="$B$7">
            <a:extLst>
              <a:ext uri="{FF2B5EF4-FFF2-40B4-BE49-F238E27FC236}">
                <a16:creationId xmlns:a16="http://schemas.microsoft.com/office/drawing/2014/main" id="{54DB21F3-CE1D-4DFF-9911-D11ED1A6BD5E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6" name="$B$7">
            <a:extLst>
              <a:ext uri="{FF2B5EF4-FFF2-40B4-BE49-F238E27FC236}">
                <a16:creationId xmlns:a16="http://schemas.microsoft.com/office/drawing/2014/main" id="{54EB076E-1A30-458F-9FFB-FA9B52984682}"/>
              </a:ext>
            </a:extLst>
          </xdr:cNvPr>
          <xdr:cNvSpPr/>
        </xdr:nvSpPr>
        <xdr:spPr>
          <a:xfrm>
            <a:off x="2921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7" name="$B$7">
            <a:extLst>
              <a:ext uri="{FF2B5EF4-FFF2-40B4-BE49-F238E27FC236}">
                <a16:creationId xmlns:a16="http://schemas.microsoft.com/office/drawing/2014/main" id="{71295CE4-365C-4348-8A74-DE54EBD31C47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8" name="$B$7">
            <a:extLst>
              <a:ext uri="{FF2B5EF4-FFF2-40B4-BE49-F238E27FC236}">
                <a16:creationId xmlns:a16="http://schemas.microsoft.com/office/drawing/2014/main" id="{71093F80-3630-431E-A1F6-8BD6060A772B}"/>
              </a:ext>
            </a:extLst>
          </xdr:cNvPr>
          <xdr:cNvSpPr/>
        </xdr:nvSpPr>
        <xdr:spPr>
          <a:xfrm>
            <a:off x="355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9" name="$B$7">
            <a:extLst>
              <a:ext uri="{FF2B5EF4-FFF2-40B4-BE49-F238E27FC236}">
                <a16:creationId xmlns:a16="http://schemas.microsoft.com/office/drawing/2014/main" id="{D3915D14-3BA7-46A7-A1A9-0A301728DD19}"/>
              </a:ext>
            </a:extLst>
          </xdr:cNvPr>
          <xdr:cNvSpPr/>
        </xdr:nvSpPr>
        <xdr:spPr>
          <a:xfrm>
            <a:off x="393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" name="$B$7">
            <a:extLst>
              <a:ext uri="{FF2B5EF4-FFF2-40B4-BE49-F238E27FC236}">
                <a16:creationId xmlns:a16="http://schemas.microsoft.com/office/drawing/2014/main" id="{24BA4D8E-576A-4A0B-A189-86727947201B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1" name="$B$7">
            <a:extLst>
              <a:ext uri="{FF2B5EF4-FFF2-40B4-BE49-F238E27FC236}">
                <a16:creationId xmlns:a16="http://schemas.microsoft.com/office/drawing/2014/main" id="{4176ACF5-677C-4811-9E43-CCDC9BD78971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" name="$B$7">
            <a:extLst>
              <a:ext uri="{FF2B5EF4-FFF2-40B4-BE49-F238E27FC236}">
                <a16:creationId xmlns:a16="http://schemas.microsoft.com/office/drawing/2014/main" id="{9E1A037C-B264-4E65-8F9E-9CF6CF413DFD}"/>
              </a:ext>
            </a:extLst>
          </xdr:cNvPr>
          <xdr:cNvSpPr/>
        </xdr:nvSpPr>
        <xdr:spPr>
          <a:xfrm>
            <a:off x="4953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" name="$B$7">
            <a:extLst>
              <a:ext uri="{FF2B5EF4-FFF2-40B4-BE49-F238E27FC236}">
                <a16:creationId xmlns:a16="http://schemas.microsoft.com/office/drawing/2014/main" id="{96D27E38-DC9E-451C-BA7B-D65F58833EEE}"/>
              </a:ext>
            </a:extLst>
          </xdr:cNvPr>
          <xdr:cNvSpPr/>
        </xdr:nvSpPr>
        <xdr:spPr>
          <a:xfrm>
            <a:off x="533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" name="$B$7">
            <a:extLst>
              <a:ext uri="{FF2B5EF4-FFF2-40B4-BE49-F238E27FC236}">
                <a16:creationId xmlns:a16="http://schemas.microsoft.com/office/drawing/2014/main" id="{B3469A16-7CAA-46BD-86F8-34B28F5DF138}"/>
              </a:ext>
            </a:extLst>
          </xdr:cNvPr>
          <xdr:cNvSpPr/>
        </xdr:nvSpPr>
        <xdr:spPr>
          <a:xfrm>
            <a:off x="571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" name="$B$7">
            <a:extLst>
              <a:ext uri="{FF2B5EF4-FFF2-40B4-BE49-F238E27FC236}">
                <a16:creationId xmlns:a16="http://schemas.microsoft.com/office/drawing/2014/main" id="{F3449BD8-1797-4196-8A08-204CB7495041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" name="$B$7">
            <a:extLst>
              <a:ext uri="{FF2B5EF4-FFF2-40B4-BE49-F238E27FC236}">
                <a16:creationId xmlns:a16="http://schemas.microsoft.com/office/drawing/2014/main" id="{B65D5121-4DA9-44D3-B043-66E86123C6A0}"/>
              </a:ext>
            </a:extLst>
          </xdr:cNvPr>
          <xdr:cNvSpPr/>
        </xdr:nvSpPr>
        <xdr:spPr>
          <a:xfrm>
            <a:off x="635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" name="$B$7">
            <a:extLst>
              <a:ext uri="{FF2B5EF4-FFF2-40B4-BE49-F238E27FC236}">
                <a16:creationId xmlns:a16="http://schemas.microsoft.com/office/drawing/2014/main" id="{34304E82-898C-4E44-BAA6-A4849791AF54}"/>
              </a:ext>
            </a:extLst>
          </xdr:cNvPr>
          <xdr:cNvSpPr/>
        </xdr:nvSpPr>
        <xdr:spPr>
          <a:xfrm>
            <a:off x="660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" name="$B$7">
            <a:extLst>
              <a:ext uri="{FF2B5EF4-FFF2-40B4-BE49-F238E27FC236}">
                <a16:creationId xmlns:a16="http://schemas.microsoft.com/office/drawing/2014/main" id="{B6CD02A4-4896-427C-ADF5-9C3FAF20282F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9" name="$B$7">
            <a:extLst>
              <a:ext uri="{FF2B5EF4-FFF2-40B4-BE49-F238E27FC236}">
                <a16:creationId xmlns:a16="http://schemas.microsoft.com/office/drawing/2014/main" id="{35BA916F-9639-4DD6-BA2F-04E55D00C91D}"/>
              </a:ext>
            </a:extLst>
          </xdr:cNvPr>
          <xdr:cNvSpPr/>
        </xdr:nvSpPr>
        <xdr:spPr>
          <a:xfrm>
            <a:off x="7239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0" name="$B$7">
            <a:extLst>
              <a:ext uri="{FF2B5EF4-FFF2-40B4-BE49-F238E27FC236}">
                <a16:creationId xmlns:a16="http://schemas.microsoft.com/office/drawing/2014/main" id="{92FD4D34-51B9-4E98-B5B9-7F416F87A831}"/>
              </a:ext>
            </a:extLst>
          </xdr:cNvPr>
          <xdr:cNvSpPr/>
        </xdr:nvSpPr>
        <xdr:spPr>
          <a:xfrm>
            <a:off x="762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1" name="$B$7">
            <a:extLst>
              <a:ext uri="{FF2B5EF4-FFF2-40B4-BE49-F238E27FC236}">
                <a16:creationId xmlns:a16="http://schemas.microsoft.com/office/drawing/2014/main" id="{D5A88783-2A0E-4A6D-A632-41B10CEB9535}"/>
              </a:ext>
            </a:extLst>
          </xdr:cNvPr>
          <xdr:cNvSpPr/>
        </xdr:nvSpPr>
        <xdr:spPr>
          <a:xfrm>
            <a:off x="800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310570</xdr:colOff>
      <xdr:row>7</xdr:row>
      <xdr:rowOff>0</xdr:rowOff>
    </xdr:from>
    <xdr:to>
      <xdr:col>1</xdr:col>
      <xdr:colOff>2104971</xdr:colOff>
      <xdr:row>8</xdr:row>
      <xdr:rowOff>0</xdr:rowOff>
    </xdr:to>
    <xdr:grpSp>
      <xdr:nvGrpSpPr>
        <xdr:cNvPr id="400" name="$B$8" descr="Linear barcode, 70 modules" title="11221111112121112112112122111111212121211112112111221">
          <a:extLst>
            <a:ext uri="{FF2B5EF4-FFF2-40B4-BE49-F238E27FC236}">
              <a16:creationId xmlns:a16="http://schemas.microsoft.com/office/drawing/2014/main" id="{2C715CEF-10D9-447A-91A6-843DAAEA2982}"/>
            </a:ext>
          </a:extLst>
        </xdr:cNvPr>
        <xdr:cNvGrpSpPr>
          <a:grpSpLocks noChangeAspect="1"/>
        </xdr:cNvGrpSpPr>
      </xdr:nvGrpSpPr>
      <xdr:grpSpPr>
        <a:xfrm>
          <a:off x="1346890" y="2560320"/>
          <a:ext cx="1794401" cy="365760"/>
          <a:chOff x="0" y="12700"/>
          <a:chExt cx="889000" cy="12700"/>
        </a:xfrm>
        <a:solidFill>
          <a:srgbClr val="000000"/>
        </a:solidFill>
      </xdr:grpSpPr>
      <xdr:sp macro="" textlink="">
        <xdr:nvSpPr>
          <xdr:cNvPr id="373" name="$B$8">
            <a:extLst>
              <a:ext uri="{FF2B5EF4-FFF2-40B4-BE49-F238E27FC236}">
                <a16:creationId xmlns:a16="http://schemas.microsoft.com/office/drawing/2014/main" id="{C6B5F221-7979-401C-B8B7-11104D8B0C26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" name="$B$8">
            <a:extLst>
              <a:ext uri="{FF2B5EF4-FFF2-40B4-BE49-F238E27FC236}">
                <a16:creationId xmlns:a16="http://schemas.microsoft.com/office/drawing/2014/main" id="{F47041A8-C85A-4F8A-BEA6-568BD8C93754}"/>
              </a:ext>
            </a:extLst>
          </xdr:cNvPr>
          <xdr:cNvSpPr/>
        </xdr:nvSpPr>
        <xdr:spPr>
          <a:xfrm>
            <a:off x="25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" name="$B$8">
            <a:extLst>
              <a:ext uri="{FF2B5EF4-FFF2-40B4-BE49-F238E27FC236}">
                <a16:creationId xmlns:a16="http://schemas.microsoft.com/office/drawing/2014/main" id="{9F10373E-F0F4-42A9-BE44-3C1E76A9DA57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" name="$B$8">
            <a:extLst>
              <a:ext uri="{FF2B5EF4-FFF2-40B4-BE49-F238E27FC236}">
                <a16:creationId xmlns:a16="http://schemas.microsoft.com/office/drawing/2014/main" id="{88E91292-DC49-4281-B642-54B8862181B0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" name="$B$8">
            <a:extLst>
              <a:ext uri="{FF2B5EF4-FFF2-40B4-BE49-F238E27FC236}">
                <a16:creationId xmlns:a16="http://schemas.microsoft.com/office/drawing/2014/main" id="{11F7BFCD-45E0-449D-AE8C-A3A2F7D7BC6C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" name="$B$8">
            <a:extLst>
              <a:ext uri="{FF2B5EF4-FFF2-40B4-BE49-F238E27FC236}">
                <a16:creationId xmlns:a16="http://schemas.microsoft.com/office/drawing/2014/main" id="{2D26CCD7-2DFF-438D-BCCE-2C2105E87A9A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9" name="$B$8">
            <a:extLst>
              <a:ext uri="{FF2B5EF4-FFF2-40B4-BE49-F238E27FC236}">
                <a16:creationId xmlns:a16="http://schemas.microsoft.com/office/drawing/2014/main" id="{D0D13C8F-AB85-4617-BA57-BC154F0E1B3D}"/>
              </a:ext>
            </a:extLst>
          </xdr:cNvPr>
          <xdr:cNvSpPr/>
        </xdr:nvSpPr>
        <xdr:spPr>
          <a:xfrm>
            <a:off x="190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0" name="$B$8">
            <a:extLst>
              <a:ext uri="{FF2B5EF4-FFF2-40B4-BE49-F238E27FC236}">
                <a16:creationId xmlns:a16="http://schemas.microsoft.com/office/drawing/2014/main" id="{E2418DB8-2A33-4D03-8370-8016517F543B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1" name="$B$8">
            <a:extLst>
              <a:ext uri="{FF2B5EF4-FFF2-40B4-BE49-F238E27FC236}">
                <a16:creationId xmlns:a16="http://schemas.microsoft.com/office/drawing/2014/main" id="{A622C9C5-522D-46EF-91E4-D61E334FCC61}"/>
              </a:ext>
            </a:extLst>
          </xdr:cNvPr>
          <xdr:cNvSpPr/>
        </xdr:nvSpPr>
        <xdr:spPr>
          <a:xfrm>
            <a:off x="254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2" name="$B$8">
            <a:extLst>
              <a:ext uri="{FF2B5EF4-FFF2-40B4-BE49-F238E27FC236}">
                <a16:creationId xmlns:a16="http://schemas.microsoft.com/office/drawing/2014/main" id="{6EB7102C-680B-495A-AA82-0B79D7995047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3" name="$B$8">
            <a:extLst>
              <a:ext uri="{FF2B5EF4-FFF2-40B4-BE49-F238E27FC236}">
                <a16:creationId xmlns:a16="http://schemas.microsoft.com/office/drawing/2014/main" id="{F91FD433-6A22-4DD7-BEB3-A0799B57252D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4" name="$B$8">
            <a:extLst>
              <a:ext uri="{FF2B5EF4-FFF2-40B4-BE49-F238E27FC236}">
                <a16:creationId xmlns:a16="http://schemas.microsoft.com/office/drawing/2014/main" id="{9364923F-99FD-4577-95E4-632478E90500}"/>
              </a:ext>
            </a:extLst>
          </xdr:cNvPr>
          <xdr:cNvSpPr/>
        </xdr:nvSpPr>
        <xdr:spPr>
          <a:xfrm>
            <a:off x="355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" name="$B$8">
            <a:extLst>
              <a:ext uri="{FF2B5EF4-FFF2-40B4-BE49-F238E27FC236}">
                <a16:creationId xmlns:a16="http://schemas.microsoft.com/office/drawing/2014/main" id="{625ED79B-AEF3-4248-8D8D-5324C8606FDE}"/>
              </a:ext>
            </a:extLst>
          </xdr:cNvPr>
          <xdr:cNvSpPr/>
        </xdr:nvSpPr>
        <xdr:spPr>
          <a:xfrm>
            <a:off x="3937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" name="$B$8">
            <a:extLst>
              <a:ext uri="{FF2B5EF4-FFF2-40B4-BE49-F238E27FC236}">
                <a16:creationId xmlns:a16="http://schemas.microsoft.com/office/drawing/2014/main" id="{5D6D4F04-5125-4CB5-89BC-49962FB190BF}"/>
              </a:ext>
            </a:extLst>
          </xdr:cNvPr>
          <xdr:cNvSpPr/>
        </xdr:nvSpPr>
        <xdr:spPr>
          <a:xfrm>
            <a:off x="444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" name="$B$8">
            <a:extLst>
              <a:ext uri="{FF2B5EF4-FFF2-40B4-BE49-F238E27FC236}">
                <a16:creationId xmlns:a16="http://schemas.microsoft.com/office/drawing/2014/main" id="{1AB27469-73DA-423C-BF52-A98027141866}"/>
              </a:ext>
            </a:extLst>
          </xdr:cNvPr>
          <xdr:cNvSpPr/>
        </xdr:nvSpPr>
        <xdr:spPr>
          <a:xfrm>
            <a:off x="469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" name="$B$8">
            <a:extLst>
              <a:ext uri="{FF2B5EF4-FFF2-40B4-BE49-F238E27FC236}">
                <a16:creationId xmlns:a16="http://schemas.microsoft.com/office/drawing/2014/main" id="{DEB88C5F-3B93-40D9-8DB2-CEC62CFBF199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" name="$B$8">
            <a:extLst>
              <a:ext uri="{FF2B5EF4-FFF2-40B4-BE49-F238E27FC236}">
                <a16:creationId xmlns:a16="http://schemas.microsoft.com/office/drawing/2014/main" id="{A9F5F304-9C4E-4A9C-96ED-1D048AB614BE}"/>
              </a:ext>
            </a:extLst>
          </xdr:cNvPr>
          <xdr:cNvSpPr/>
        </xdr:nvSpPr>
        <xdr:spPr>
          <a:xfrm>
            <a:off x="5207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" name="$B$8">
            <a:extLst>
              <a:ext uri="{FF2B5EF4-FFF2-40B4-BE49-F238E27FC236}">
                <a16:creationId xmlns:a16="http://schemas.microsoft.com/office/drawing/2014/main" id="{C9762E90-838B-4412-AFC2-8DA4938287F5}"/>
              </a:ext>
            </a:extLst>
          </xdr:cNvPr>
          <xdr:cNvSpPr/>
        </xdr:nvSpPr>
        <xdr:spPr>
          <a:xfrm>
            <a:off x="5588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" name="$B$8">
            <a:extLst>
              <a:ext uri="{FF2B5EF4-FFF2-40B4-BE49-F238E27FC236}">
                <a16:creationId xmlns:a16="http://schemas.microsoft.com/office/drawing/2014/main" id="{6F67B1A1-FBC6-41FC-9C87-52B816F360C9}"/>
              </a:ext>
            </a:extLst>
          </xdr:cNvPr>
          <xdr:cNvSpPr/>
        </xdr:nvSpPr>
        <xdr:spPr>
          <a:xfrm>
            <a:off x="5969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" name="$B$8">
            <a:extLst>
              <a:ext uri="{FF2B5EF4-FFF2-40B4-BE49-F238E27FC236}">
                <a16:creationId xmlns:a16="http://schemas.microsoft.com/office/drawing/2014/main" id="{32B4F8C2-1F5C-4ABD-BDC0-CD6B10B5EDB2}"/>
              </a:ext>
            </a:extLst>
          </xdr:cNvPr>
          <xdr:cNvSpPr/>
        </xdr:nvSpPr>
        <xdr:spPr>
          <a:xfrm>
            <a:off x="635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" name="$B$8">
            <a:extLst>
              <a:ext uri="{FF2B5EF4-FFF2-40B4-BE49-F238E27FC236}">
                <a16:creationId xmlns:a16="http://schemas.microsoft.com/office/drawing/2014/main" id="{471AF4F6-E917-43C8-A4BB-B5AC56916E57}"/>
              </a:ext>
            </a:extLst>
          </xdr:cNvPr>
          <xdr:cNvSpPr/>
        </xdr:nvSpPr>
        <xdr:spPr>
          <a:xfrm>
            <a:off x="673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" name="$B$8">
            <a:extLst>
              <a:ext uri="{FF2B5EF4-FFF2-40B4-BE49-F238E27FC236}">
                <a16:creationId xmlns:a16="http://schemas.microsoft.com/office/drawing/2014/main" id="{BAF120BF-7236-4EE8-9EAB-849A07D9E69F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" name="$B$8">
            <a:extLst>
              <a:ext uri="{FF2B5EF4-FFF2-40B4-BE49-F238E27FC236}">
                <a16:creationId xmlns:a16="http://schemas.microsoft.com/office/drawing/2014/main" id="{688040A2-8622-4095-80ED-A81E248E1F1A}"/>
              </a:ext>
            </a:extLst>
          </xdr:cNvPr>
          <xdr:cNvSpPr/>
        </xdr:nvSpPr>
        <xdr:spPr>
          <a:xfrm>
            <a:off x="736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" name="$B$8">
            <a:extLst>
              <a:ext uri="{FF2B5EF4-FFF2-40B4-BE49-F238E27FC236}">
                <a16:creationId xmlns:a16="http://schemas.microsoft.com/office/drawing/2014/main" id="{6024254E-F6EC-4FA5-9473-B658A9CF0AE9}"/>
              </a:ext>
            </a:extLst>
          </xdr:cNvPr>
          <xdr:cNvSpPr/>
        </xdr:nvSpPr>
        <xdr:spPr>
          <a:xfrm>
            <a:off x="762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7" name="$B$8">
            <a:extLst>
              <a:ext uri="{FF2B5EF4-FFF2-40B4-BE49-F238E27FC236}">
                <a16:creationId xmlns:a16="http://schemas.microsoft.com/office/drawing/2014/main" id="{BC6C8229-F7A2-456A-B8F8-D20450471454}"/>
              </a:ext>
            </a:extLst>
          </xdr:cNvPr>
          <xdr:cNvSpPr/>
        </xdr:nvSpPr>
        <xdr:spPr>
          <a:xfrm>
            <a:off x="800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8" name="$B$8">
            <a:extLst>
              <a:ext uri="{FF2B5EF4-FFF2-40B4-BE49-F238E27FC236}">
                <a16:creationId xmlns:a16="http://schemas.microsoft.com/office/drawing/2014/main" id="{C56AFC27-0F70-4D8D-B098-DF2570F5EF13}"/>
              </a:ext>
            </a:extLst>
          </xdr:cNvPr>
          <xdr:cNvSpPr/>
        </xdr:nvSpPr>
        <xdr:spPr>
          <a:xfrm>
            <a:off x="825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9" name="$B$8">
            <a:extLst>
              <a:ext uri="{FF2B5EF4-FFF2-40B4-BE49-F238E27FC236}">
                <a16:creationId xmlns:a16="http://schemas.microsoft.com/office/drawing/2014/main" id="{3E8605F6-A130-4728-AAF6-BF83869F2237}"/>
              </a:ext>
            </a:extLst>
          </xdr:cNvPr>
          <xdr:cNvSpPr/>
        </xdr:nvSpPr>
        <xdr:spPr>
          <a:xfrm>
            <a:off x="876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217399</xdr:colOff>
      <xdr:row>8</xdr:row>
      <xdr:rowOff>0</xdr:rowOff>
    </xdr:from>
    <xdr:to>
      <xdr:col>1</xdr:col>
      <xdr:colOff>2198142</xdr:colOff>
      <xdr:row>9</xdr:row>
      <xdr:rowOff>0</xdr:rowOff>
    </xdr:to>
    <xdr:grpSp>
      <xdr:nvGrpSpPr>
        <xdr:cNvPr id="435" name="$B$9" descr="Linear barcode, 100 modules" title="1111412112122111132122112113111211222211122212111411111231111111411">
          <a:extLst>
            <a:ext uri="{FF2B5EF4-FFF2-40B4-BE49-F238E27FC236}">
              <a16:creationId xmlns:a16="http://schemas.microsoft.com/office/drawing/2014/main" id="{37110FD5-BFF4-4259-97B5-DDA941718A6A}"/>
            </a:ext>
          </a:extLst>
        </xdr:cNvPr>
        <xdr:cNvGrpSpPr>
          <a:grpSpLocks noChangeAspect="1"/>
        </xdr:cNvGrpSpPr>
      </xdr:nvGrpSpPr>
      <xdr:grpSpPr>
        <a:xfrm>
          <a:off x="1253719" y="2926080"/>
          <a:ext cx="1980743" cy="365760"/>
          <a:chOff x="0" y="12700"/>
          <a:chExt cx="1270000" cy="12700"/>
        </a:xfrm>
        <a:solidFill>
          <a:srgbClr val="000000"/>
        </a:solidFill>
      </xdr:grpSpPr>
      <xdr:sp macro="" textlink="">
        <xdr:nvSpPr>
          <xdr:cNvPr id="401" name="$B$9">
            <a:extLst>
              <a:ext uri="{FF2B5EF4-FFF2-40B4-BE49-F238E27FC236}">
                <a16:creationId xmlns:a16="http://schemas.microsoft.com/office/drawing/2014/main" id="{061EF4F8-3EB8-4562-99B6-330BB3E52347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2" name="$B$9">
            <a:extLst>
              <a:ext uri="{FF2B5EF4-FFF2-40B4-BE49-F238E27FC236}">
                <a16:creationId xmlns:a16="http://schemas.microsoft.com/office/drawing/2014/main" id="{7FEA3604-21F9-4048-A72F-828314729284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3" name="$B$9">
            <a:extLst>
              <a:ext uri="{FF2B5EF4-FFF2-40B4-BE49-F238E27FC236}">
                <a16:creationId xmlns:a16="http://schemas.microsoft.com/office/drawing/2014/main" id="{064F52EC-62D3-4EDD-BBAA-34732CF32E1E}"/>
              </a:ext>
            </a:extLst>
          </xdr:cNvPr>
          <xdr:cNvSpPr/>
        </xdr:nvSpPr>
        <xdr:spPr>
          <a:xfrm>
            <a:off x="50800" y="1270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4" name="$B$9">
            <a:extLst>
              <a:ext uri="{FF2B5EF4-FFF2-40B4-BE49-F238E27FC236}">
                <a16:creationId xmlns:a16="http://schemas.microsoft.com/office/drawing/2014/main" id="{264DE1CB-2B57-46E9-B92F-D7F731543F65}"/>
              </a:ext>
            </a:extLst>
          </xdr:cNvPr>
          <xdr:cNvSpPr/>
        </xdr:nvSpPr>
        <xdr:spPr>
          <a:xfrm>
            <a:off x="1143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" name="$B$9">
            <a:extLst>
              <a:ext uri="{FF2B5EF4-FFF2-40B4-BE49-F238E27FC236}">
                <a16:creationId xmlns:a16="http://schemas.microsoft.com/office/drawing/2014/main" id="{8A1CBAB9-B69D-4CDB-9F9E-D868F4F136D4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" name="$B$9">
            <a:extLst>
              <a:ext uri="{FF2B5EF4-FFF2-40B4-BE49-F238E27FC236}">
                <a16:creationId xmlns:a16="http://schemas.microsoft.com/office/drawing/2014/main" id="{FC847313-EAC7-4308-BA71-C583B3E24384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" name="$B$9">
            <a:extLst>
              <a:ext uri="{FF2B5EF4-FFF2-40B4-BE49-F238E27FC236}">
                <a16:creationId xmlns:a16="http://schemas.microsoft.com/office/drawing/2014/main" id="{111774F5-39C4-4869-95CC-0DB2C057C446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" name="$B$9">
            <a:extLst>
              <a:ext uri="{FF2B5EF4-FFF2-40B4-BE49-F238E27FC236}">
                <a16:creationId xmlns:a16="http://schemas.microsoft.com/office/drawing/2014/main" id="{FD3BAEAF-E0C8-434B-83DB-10E9002DB3B3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" name="$B$9">
            <a:extLst>
              <a:ext uri="{FF2B5EF4-FFF2-40B4-BE49-F238E27FC236}">
                <a16:creationId xmlns:a16="http://schemas.microsoft.com/office/drawing/2014/main" id="{25DFB34A-5B67-4511-9E1D-0C871E0541BE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" name="$B$9">
            <a:extLst>
              <a:ext uri="{FF2B5EF4-FFF2-40B4-BE49-F238E27FC236}">
                <a16:creationId xmlns:a16="http://schemas.microsoft.com/office/drawing/2014/main" id="{0F2334F2-33FA-4F86-8395-57930F481586}"/>
              </a:ext>
            </a:extLst>
          </xdr:cNvPr>
          <xdr:cNvSpPr/>
        </xdr:nvSpPr>
        <xdr:spPr>
          <a:xfrm>
            <a:off x="3429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" name="$B$9">
            <a:extLst>
              <a:ext uri="{FF2B5EF4-FFF2-40B4-BE49-F238E27FC236}">
                <a16:creationId xmlns:a16="http://schemas.microsoft.com/office/drawing/2014/main" id="{00ACD321-26F6-4DF7-9851-5AE7F9261481}"/>
              </a:ext>
            </a:extLst>
          </xdr:cNvPr>
          <xdr:cNvSpPr/>
        </xdr:nvSpPr>
        <xdr:spPr>
          <a:xfrm>
            <a:off x="381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" name="$B$9">
            <a:extLst>
              <a:ext uri="{FF2B5EF4-FFF2-40B4-BE49-F238E27FC236}">
                <a16:creationId xmlns:a16="http://schemas.microsoft.com/office/drawing/2014/main" id="{577A342A-B661-4089-9952-BEAA49B5D5A4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" name="$B$9">
            <a:extLst>
              <a:ext uri="{FF2B5EF4-FFF2-40B4-BE49-F238E27FC236}">
                <a16:creationId xmlns:a16="http://schemas.microsoft.com/office/drawing/2014/main" id="{118D66B3-3553-4CEE-BB32-0815CF2C941E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" name="$B$9">
            <a:extLst>
              <a:ext uri="{FF2B5EF4-FFF2-40B4-BE49-F238E27FC236}">
                <a16:creationId xmlns:a16="http://schemas.microsoft.com/office/drawing/2014/main" id="{3A251E3D-6B65-4306-B9BB-9F89514D8974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" name="$B$9">
            <a:extLst>
              <a:ext uri="{FF2B5EF4-FFF2-40B4-BE49-F238E27FC236}">
                <a16:creationId xmlns:a16="http://schemas.microsoft.com/office/drawing/2014/main" id="{A1EE06AA-8596-4437-99DA-05F840F8A13B}"/>
              </a:ext>
            </a:extLst>
          </xdr:cNvPr>
          <xdr:cNvSpPr/>
        </xdr:nvSpPr>
        <xdr:spPr>
          <a:xfrm>
            <a:off x="546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" name="$B$9">
            <a:extLst>
              <a:ext uri="{FF2B5EF4-FFF2-40B4-BE49-F238E27FC236}">
                <a16:creationId xmlns:a16="http://schemas.microsoft.com/office/drawing/2014/main" id="{0AA19402-7BB0-416E-A6F7-45D3B13AE004}"/>
              </a:ext>
            </a:extLst>
          </xdr:cNvPr>
          <xdr:cNvSpPr/>
        </xdr:nvSpPr>
        <xdr:spPr>
          <a:xfrm>
            <a:off x="571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" name="$B$9">
            <a:extLst>
              <a:ext uri="{FF2B5EF4-FFF2-40B4-BE49-F238E27FC236}">
                <a16:creationId xmlns:a16="http://schemas.microsoft.com/office/drawing/2014/main" id="{A386F425-C6E1-423C-B048-B3DE2EB43933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8" name="$B$9">
            <a:extLst>
              <a:ext uri="{FF2B5EF4-FFF2-40B4-BE49-F238E27FC236}">
                <a16:creationId xmlns:a16="http://schemas.microsoft.com/office/drawing/2014/main" id="{82132745-54A1-41F8-842E-E6B644E1D388}"/>
              </a:ext>
            </a:extLst>
          </xdr:cNvPr>
          <xdr:cNvSpPr/>
        </xdr:nvSpPr>
        <xdr:spPr>
          <a:xfrm>
            <a:off x="635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9" name="$B$9">
            <a:extLst>
              <a:ext uri="{FF2B5EF4-FFF2-40B4-BE49-F238E27FC236}">
                <a16:creationId xmlns:a16="http://schemas.microsoft.com/office/drawing/2014/main" id="{F8F6FFAE-4044-492E-A1CA-6C457359DBCA}"/>
              </a:ext>
            </a:extLst>
          </xdr:cNvPr>
          <xdr:cNvSpPr/>
        </xdr:nvSpPr>
        <xdr:spPr>
          <a:xfrm>
            <a:off x="6858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0" name="$B$9">
            <a:extLst>
              <a:ext uri="{FF2B5EF4-FFF2-40B4-BE49-F238E27FC236}">
                <a16:creationId xmlns:a16="http://schemas.microsoft.com/office/drawing/2014/main" id="{F6F6D41B-2AB2-4AA6-9EB9-ADFE4D198915}"/>
              </a:ext>
            </a:extLst>
          </xdr:cNvPr>
          <xdr:cNvSpPr/>
        </xdr:nvSpPr>
        <xdr:spPr>
          <a:xfrm>
            <a:off x="736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" name="$B$9">
            <a:extLst>
              <a:ext uri="{FF2B5EF4-FFF2-40B4-BE49-F238E27FC236}">
                <a16:creationId xmlns:a16="http://schemas.microsoft.com/office/drawing/2014/main" id="{06A94D41-837A-4AD1-BD01-153BC85C62E8}"/>
              </a:ext>
            </a:extLst>
          </xdr:cNvPr>
          <xdr:cNvSpPr/>
        </xdr:nvSpPr>
        <xdr:spPr>
          <a:xfrm>
            <a:off x="762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" name="$B$9">
            <a:extLst>
              <a:ext uri="{FF2B5EF4-FFF2-40B4-BE49-F238E27FC236}">
                <a16:creationId xmlns:a16="http://schemas.microsoft.com/office/drawing/2014/main" id="{89C468D1-EDF1-4969-9350-C9F9C980951A}"/>
              </a:ext>
            </a:extLst>
          </xdr:cNvPr>
          <xdr:cNvSpPr/>
        </xdr:nvSpPr>
        <xdr:spPr>
          <a:xfrm>
            <a:off x="8001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" name="$B$9">
            <a:extLst>
              <a:ext uri="{FF2B5EF4-FFF2-40B4-BE49-F238E27FC236}">
                <a16:creationId xmlns:a16="http://schemas.microsoft.com/office/drawing/2014/main" id="{2CE440B0-3974-40D6-97C9-33BF76CF5F0B}"/>
              </a:ext>
            </a:extLst>
          </xdr:cNvPr>
          <xdr:cNvSpPr/>
        </xdr:nvSpPr>
        <xdr:spPr>
          <a:xfrm>
            <a:off x="850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" name="$B$9">
            <a:extLst>
              <a:ext uri="{FF2B5EF4-FFF2-40B4-BE49-F238E27FC236}">
                <a16:creationId xmlns:a16="http://schemas.microsoft.com/office/drawing/2014/main" id="{0E561C34-9D8A-4F8F-AB1C-F15A1EBC3553}"/>
              </a:ext>
            </a:extLst>
          </xdr:cNvPr>
          <xdr:cNvSpPr/>
        </xdr:nvSpPr>
        <xdr:spPr>
          <a:xfrm>
            <a:off x="889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" name="$B$9">
            <a:extLst>
              <a:ext uri="{FF2B5EF4-FFF2-40B4-BE49-F238E27FC236}">
                <a16:creationId xmlns:a16="http://schemas.microsoft.com/office/drawing/2014/main" id="{CE69B0B8-21F0-4FB7-B740-F1CB8A368019}"/>
              </a:ext>
            </a:extLst>
          </xdr:cNvPr>
          <xdr:cNvSpPr/>
        </xdr:nvSpPr>
        <xdr:spPr>
          <a:xfrm>
            <a:off x="914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" name="$B$9">
            <a:extLst>
              <a:ext uri="{FF2B5EF4-FFF2-40B4-BE49-F238E27FC236}">
                <a16:creationId xmlns:a16="http://schemas.microsoft.com/office/drawing/2014/main" id="{CF7DDB29-78A1-4A36-8453-2F14A14751DA}"/>
              </a:ext>
            </a:extLst>
          </xdr:cNvPr>
          <xdr:cNvSpPr/>
        </xdr:nvSpPr>
        <xdr:spPr>
          <a:xfrm>
            <a:off x="977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" name="$B$9">
            <a:extLst>
              <a:ext uri="{FF2B5EF4-FFF2-40B4-BE49-F238E27FC236}">
                <a16:creationId xmlns:a16="http://schemas.microsoft.com/office/drawing/2014/main" id="{362B8727-9671-41F6-9BA9-CBCEBD09DAEA}"/>
              </a:ext>
            </a:extLst>
          </xdr:cNvPr>
          <xdr:cNvSpPr/>
        </xdr:nvSpPr>
        <xdr:spPr>
          <a:xfrm>
            <a:off x="1003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" name="$B$9">
            <a:extLst>
              <a:ext uri="{FF2B5EF4-FFF2-40B4-BE49-F238E27FC236}">
                <a16:creationId xmlns:a16="http://schemas.microsoft.com/office/drawing/2014/main" id="{9756C2F0-B8D5-4040-8BA7-26C4F327303B}"/>
              </a:ext>
            </a:extLst>
          </xdr:cNvPr>
          <xdr:cNvSpPr/>
        </xdr:nvSpPr>
        <xdr:spPr>
          <a:xfrm>
            <a:off x="1028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" name="$B$9">
            <a:extLst>
              <a:ext uri="{FF2B5EF4-FFF2-40B4-BE49-F238E27FC236}">
                <a16:creationId xmlns:a16="http://schemas.microsoft.com/office/drawing/2014/main" id="{D6E0B2C6-771F-471E-9E86-CE0E05FCDCB4}"/>
              </a:ext>
            </a:extLst>
          </xdr:cNvPr>
          <xdr:cNvSpPr/>
        </xdr:nvSpPr>
        <xdr:spPr>
          <a:xfrm>
            <a:off x="1066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" name="$B$9">
            <a:extLst>
              <a:ext uri="{FF2B5EF4-FFF2-40B4-BE49-F238E27FC236}">
                <a16:creationId xmlns:a16="http://schemas.microsoft.com/office/drawing/2014/main" id="{6B09BA38-C1A9-41B3-AA13-A6F5486575ED}"/>
              </a:ext>
            </a:extLst>
          </xdr:cNvPr>
          <xdr:cNvSpPr/>
        </xdr:nvSpPr>
        <xdr:spPr>
          <a:xfrm>
            <a:off x="1117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1" name="$B$9">
            <a:extLst>
              <a:ext uri="{FF2B5EF4-FFF2-40B4-BE49-F238E27FC236}">
                <a16:creationId xmlns:a16="http://schemas.microsoft.com/office/drawing/2014/main" id="{432E7732-DB0F-403A-8843-389BF96AAAF3}"/>
              </a:ext>
            </a:extLst>
          </xdr:cNvPr>
          <xdr:cNvSpPr/>
        </xdr:nvSpPr>
        <xdr:spPr>
          <a:xfrm>
            <a:off x="1143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2" name="$B$9">
            <a:extLst>
              <a:ext uri="{FF2B5EF4-FFF2-40B4-BE49-F238E27FC236}">
                <a16:creationId xmlns:a16="http://schemas.microsoft.com/office/drawing/2014/main" id="{CACF4164-AC51-49BD-87D7-5E336CCB9B68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" name="$B$9">
            <a:extLst>
              <a:ext uri="{FF2B5EF4-FFF2-40B4-BE49-F238E27FC236}">
                <a16:creationId xmlns:a16="http://schemas.microsoft.com/office/drawing/2014/main" id="{3A4C212E-585D-45EA-BDF9-7BAA35A8086F}"/>
              </a:ext>
            </a:extLst>
          </xdr:cNvPr>
          <xdr:cNvSpPr/>
        </xdr:nvSpPr>
        <xdr:spPr>
          <a:xfrm>
            <a:off x="1193800" y="1270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" name="$B$9">
            <a:extLst>
              <a:ext uri="{FF2B5EF4-FFF2-40B4-BE49-F238E27FC236}">
                <a16:creationId xmlns:a16="http://schemas.microsoft.com/office/drawing/2014/main" id="{5EBBF7ED-C3E7-4699-9CE3-C917309F37DF}"/>
              </a:ext>
            </a:extLst>
          </xdr:cNvPr>
          <xdr:cNvSpPr/>
        </xdr:nvSpPr>
        <xdr:spPr>
          <a:xfrm>
            <a:off x="1257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434797</xdr:colOff>
      <xdr:row>9</xdr:row>
      <xdr:rowOff>0</xdr:rowOff>
    </xdr:from>
    <xdr:to>
      <xdr:col>1</xdr:col>
      <xdr:colOff>1980743</xdr:colOff>
      <xdr:row>10</xdr:row>
      <xdr:rowOff>0</xdr:rowOff>
    </xdr:to>
    <xdr:grpSp>
      <xdr:nvGrpSpPr>
        <xdr:cNvPr id="21" name="$B$10" descr="Linear barcode, 50 modules" title="1111211211112221211211122112221111211">
          <a:extLst>
            <a:ext uri="{FF2B5EF4-FFF2-40B4-BE49-F238E27FC236}">
              <a16:creationId xmlns:a16="http://schemas.microsoft.com/office/drawing/2014/main" id="{30D8B05F-8F5D-25F7-0C0A-D6ECFBB1236A}"/>
            </a:ext>
          </a:extLst>
        </xdr:cNvPr>
        <xdr:cNvGrpSpPr>
          <a:grpSpLocks noChangeAspect="1"/>
        </xdr:cNvGrpSpPr>
      </xdr:nvGrpSpPr>
      <xdr:grpSpPr>
        <a:xfrm>
          <a:off x="1471117" y="3291840"/>
          <a:ext cx="1545946" cy="365760"/>
          <a:chOff x="0" y="12700"/>
          <a:chExt cx="635000" cy="12700"/>
        </a:xfrm>
        <a:solidFill>
          <a:srgbClr val="000000"/>
        </a:solidFill>
      </xdr:grpSpPr>
      <xdr:sp macro="" textlink="">
        <xdr:nvSpPr>
          <xdr:cNvPr id="2" name="$B$10">
            <a:extLst>
              <a:ext uri="{FF2B5EF4-FFF2-40B4-BE49-F238E27FC236}">
                <a16:creationId xmlns:a16="http://schemas.microsoft.com/office/drawing/2014/main" id="{77176AF3-8B8F-7026-9A09-EF1DF803DA49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" name="$B$10">
            <a:extLst>
              <a:ext uri="{FF2B5EF4-FFF2-40B4-BE49-F238E27FC236}">
                <a16:creationId xmlns:a16="http://schemas.microsoft.com/office/drawing/2014/main" id="{02F43FC9-4E77-D39C-2326-677092B8094F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$B$10">
            <a:extLst>
              <a:ext uri="{FF2B5EF4-FFF2-40B4-BE49-F238E27FC236}">
                <a16:creationId xmlns:a16="http://schemas.microsoft.com/office/drawing/2014/main" id="{1DA0C428-0670-A832-AF55-88E64138FD7E}"/>
              </a:ext>
            </a:extLst>
          </xdr:cNvPr>
          <xdr:cNvSpPr/>
        </xdr:nvSpPr>
        <xdr:spPr>
          <a:xfrm>
            <a:off x="508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$B$10">
            <a:extLst>
              <a:ext uri="{FF2B5EF4-FFF2-40B4-BE49-F238E27FC236}">
                <a16:creationId xmlns:a16="http://schemas.microsoft.com/office/drawing/2014/main" id="{3AB0ED97-2043-783E-3A2D-09AE6A6C4FBA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$B$10">
            <a:extLst>
              <a:ext uri="{FF2B5EF4-FFF2-40B4-BE49-F238E27FC236}">
                <a16:creationId xmlns:a16="http://schemas.microsoft.com/office/drawing/2014/main" id="{2C112E60-0AEB-18FB-1988-D7F566F63CD2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$B$10">
            <a:extLst>
              <a:ext uri="{FF2B5EF4-FFF2-40B4-BE49-F238E27FC236}">
                <a16:creationId xmlns:a16="http://schemas.microsoft.com/office/drawing/2014/main" id="{5F9B1B5C-A40B-6EDD-FDA5-C747D9410095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$B$10">
            <a:extLst>
              <a:ext uri="{FF2B5EF4-FFF2-40B4-BE49-F238E27FC236}">
                <a16:creationId xmlns:a16="http://schemas.microsoft.com/office/drawing/2014/main" id="{4BFD5242-3F58-F7D9-5861-8E9E1948D2ED}"/>
              </a:ext>
            </a:extLst>
          </xdr:cNvPr>
          <xdr:cNvSpPr/>
        </xdr:nvSpPr>
        <xdr:spPr>
          <a:xfrm>
            <a:off x="1778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$B$10">
            <a:extLst>
              <a:ext uri="{FF2B5EF4-FFF2-40B4-BE49-F238E27FC236}">
                <a16:creationId xmlns:a16="http://schemas.microsoft.com/office/drawing/2014/main" id="{782DFAEA-F76B-9312-1BB5-5B4678D891D2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$B$10">
            <a:extLst>
              <a:ext uri="{FF2B5EF4-FFF2-40B4-BE49-F238E27FC236}">
                <a16:creationId xmlns:a16="http://schemas.microsoft.com/office/drawing/2014/main" id="{0E770B20-8336-3973-3440-A0F6676DC998}"/>
              </a:ext>
            </a:extLst>
          </xdr:cNvPr>
          <xdr:cNvSpPr/>
        </xdr:nvSpPr>
        <xdr:spPr>
          <a:xfrm>
            <a:off x="2667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$B$10">
            <a:extLst>
              <a:ext uri="{FF2B5EF4-FFF2-40B4-BE49-F238E27FC236}">
                <a16:creationId xmlns:a16="http://schemas.microsoft.com/office/drawing/2014/main" id="{F3F1237C-ADE6-F472-94A3-A0A9EAABD96A}"/>
              </a:ext>
            </a:extLst>
          </xdr:cNvPr>
          <xdr:cNvSpPr/>
        </xdr:nvSpPr>
        <xdr:spPr>
          <a:xfrm>
            <a:off x="304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$B$10">
            <a:extLst>
              <a:ext uri="{FF2B5EF4-FFF2-40B4-BE49-F238E27FC236}">
                <a16:creationId xmlns:a16="http://schemas.microsoft.com/office/drawing/2014/main" id="{5F75DB99-5648-13D7-6AAE-B89F7856EC51}"/>
              </a:ext>
            </a:extLst>
          </xdr:cNvPr>
          <xdr:cNvSpPr/>
        </xdr:nvSpPr>
        <xdr:spPr>
          <a:xfrm>
            <a:off x="342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" name="$B$10">
            <a:extLst>
              <a:ext uri="{FF2B5EF4-FFF2-40B4-BE49-F238E27FC236}">
                <a16:creationId xmlns:a16="http://schemas.microsoft.com/office/drawing/2014/main" id="{AE652E6C-40E0-1B4C-9A6A-CE539293B60B}"/>
              </a:ext>
            </a:extLst>
          </xdr:cNvPr>
          <xdr:cNvSpPr/>
        </xdr:nvSpPr>
        <xdr:spPr>
          <a:xfrm>
            <a:off x="368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" name="$B$10">
            <a:extLst>
              <a:ext uri="{FF2B5EF4-FFF2-40B4-BE49-F238E27FC236}">
                <a16:creationId xmlns:a16="http://schemas.microsoft.com/office/drawing/2014/main" id="{C25425EC-8D2E-CC71-5889-B190AB799848}"/>
              </a:ext>
            </a:extLst>
          </xdr:cNvPr>
          <xdr:cNvSpPr/>
        </xdr:nvSpPr>
        <xdr:spPr>
          <a:xfrm>
            <a:off x="406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$B$10">
            <a:extLst>
              <a:ext uri="{FF2B5EF4-FFF2-40B4-BE49-F238E27FC236}">
                <a16:creationId xmlns:a16="http://schemas.microsoft.com/office/drawing/2014/main" id="{DA523B1F-CFAA-4A34-2522-DF083D60C2BC}"/>
              </a:ext>
            </a:extLst>
          </xdr:cNvPr>
          <xdr:cNvSpPr/>
        </xdr:nvSpPr>
        <xdr:spPr>
          <a:xfrm>
            <a:off x="444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$B$10">
            <a:extLst>
              <a:ext uri="{FF2B5EF4-FFF2-40B4-BE49-F238E27FC236}">
                <a16:creationId xmlns:a16="http://schemas.microsoft.com/office/drawing/2014/main" id="{1B727E64-6039-BA6D-76EF-14CFE53041C6}"/>
              </a:ext>
            </a:extLst>
          </xdr:cNvPr>
          <xdr:cNvSpPr/>
        </xdr:nvSpPr>
        <xdr:spPr>
          <a:xfrm>
            <a:off x="482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" name="$B$10">
            <a:extLst>
              <a:ext uri="{FF2B5EF4-FFF2-40B4-BE49-F238E27FC236}">
                <a16:creationId xmlns:a16="http://schemas.microsoft.com/office/drawing/2014/main" id="{17219AE9-B080-6B82-0E64-C856B504F98B}"/>
              </a:ext>
            </a:extLst>
          </xdr:cNvPr>
          <xdr:cNvSpPr/>
        </xdr:nvSpPr>
        <xdr:spPr>
          <a:xfrm>
            <a:off x="533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" name="$B$10">
            <a:extLst>
              <a:ext uri="{FF2B5EF4-FFF2-40B4-BE49-F238E27FC236}">
                <a16:creationId xmlns:a16="http://schemas.microsoft.com/office/drawing/2014/main" id="{A4860B7A-453D-45EF-462F-7B292903C432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$B$10">
            <a:extLst>
              <a:ext uri="{FF2B5EF4-FFF2-40B4-BE49-F238E27FC236}">
                <a16:creationId xmlns:a16="http://schemas.microsoft.com/office/drawing/2014/main" id="{E1397958-F152-3224-8A9F-5331D00BBA48}"/>
              </a:ext>
            </a:extLst>
          </xdr:cNvPr>
          <xdr:cNvSpPr/>
        </xdr:nvSpPr>
        <xdr:spPr>
          <a:xfrm>
            <a:off x="584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" name="$B$10">
            <a:extLst>
              <a:ext uri="{FF2B5EF4-FFF2-40B4-BE49-F238E27FC236}">
                <a16:creationId xmlns:a16="http://schemas.microsoft.com/office/drawing/2014/main" id="{9CC6F064-58E5-AE0A-432F-30621A2B5423}"/>
              </a:ext>
            </a:extLst>
          </xdr:cNvPr>
          <xdr:cNvSpPr/>
        </xdr:nvSpPr>
        <xdr:spPr>
          <a:xfrm>
            <a:off x="622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205093</xdr:colOff>
      <xdr:row>10</xdr:row>
      <xdr:rowOff>0</xdr:rowOff>
    </xdr:from>
    <xdr:to>
      <xdr:col>1</xdr:col>
      <xdr:colOff>2210447</xdr:colOff>
      <xdr:row>11</xdr:row>
      <xdr:rowOff>0</xdr:rowOff>
    </xdr:to>
    <xdr:grpSp>
      <xdr:nvGrpSpPr>
        <xdr:cNvPr id="438" name="$B$11" descr="Linear barcode, 106 modules" title="11111111222211211211112221211211122112221111111122221111112222112211111221211">
          <a:extLst>
            <a:ext uri="{FF2B5EF4-FFF2-40B4-BE49-F238E27FC236}">
              <a16:creationId xmlns:a16="http://schemas.microsoft.com/office/drawing/2014/main" id="{0DE5478A-ACF8-EB99-BF3B-C8C75B00E64F}"/>
            </a:ext>
          </a:extLst>
        </xdr:cNvPr>
        <xdr:cNvGrpSpPr>
          <a:grpSpLocks noChangeAspect="1"/>
        </xdr:cNvGrpSpPr>
      </xdr:nvGrpSpPr>
      <xdr:grpSpPr>
        <a:xfrm>
          <a:off x="1241413" y="3657600"/>
          <a:ext cx="2005354" cy="365760"/>
          <a:chOff x="0" y="12700"/>
          <a:chExt cx="1346200" cy="12700"/>
        </a:xfrm>
        <a:solidFill>
          <a:srgbClr val="000000"/>
        </a:solidFill>
      </xdr:grpSpPr>
      <xdr:sp macro="" textlink="">
        <xdr:nvSpPr>
          <xdr:cNvPr id="22" name="$B$11">
            <a:extLst>
              <a:ext uri="{FF2B5EF4-FFF2-40B4-BE49-F238E27FC236}">
                <a16:creationId xmlns:a16="http://schemas.microsoft.com/office/drawing/2014/main" id="{975BDA0C-80F5-D47C-AB66-23C9564BA7F3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" name="$B$11">
            <a:extLst>
              <a:ext uri="{FF2B5EF4-FFF2-40B4-BE49-F238E27FC236}">
                <a16:creationId xmlns:a16="http://schemas.microsoft.com/office/drawing/2014/main" id="{1C3B7C12-1EB5-A566-981C-2D2C215B75CD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" name="$B$11">
            <a:extLst>
              <a:ext uri="{FF2B5EF4-FFF2-40B4-BE49-F238E27FC236}">
                <a16:creationId xmlns:a16="http://schemas.microsoft.com/office/drawing/2014/main" id="{CC98A2A9-DB2E-A09D-BB7F-786AF7B8844F}"/>
              </a:ext>
            </a:extLst>
          </xdr:cNvPr>
          <xdr:cNvSpPr/>
        </xdr:nvSpPr>
        <xdr:spPr>
          <a:xfrm>
            <a:off x="50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" name="$B$11">
            <a:extLst>
              <a:ext uri="{FF2B5EF4-FFF2-40B4-BE49-F238E27FC236}">
                <a16:creationId xmlns:a16="http://schemas.microsoft.com/office/drawing/2014/main" id="{C43EDF6A-CDE8-23F6-E6F6-8F962060439A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" name="$B$11">
            <a:extLst>
              <a:ext uri="{FF2B5EF4-FFF2-40B4-BE49-F238E27FC236}">
                <a16:creationId xmlns:a16="http://schemas.microsoft.com/office/drawing/2014/main" id="{F2BAF84F-9B97-FBA3-2BC8-606026E2B617}"/>
              </a:ext>
            </a:extLst>
          </xdr:cNvPr>
          <xdr:cNvSpPr/>
        </xdr:nvSpPr>
        <xdr:spPr>
          <a:xfrm>
            <a:off x="101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" name="$B$11">
            <a:extLst>
              <a:ext uri="{FF2B5EF4-FFF2-40B4-BE49-F238E27FC236}">
                <a16:creationId xmlns:a16="http://schemas.microsoft.com/office/drawing/2014/main" id="{8B0AC57D-0A45-F31D-ECB2-CE01944AA780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$B$11">
            <a:extLst>
              <a:ext uri="{FF2B5EF4-FFF2-40B4-BE49-F238E27FC236}">
                <a16:creationId xmlns:a16="http://schemas.microsoft.com/office/drawing/2014/main" id="{5810D76C-E970-0508-40AD-297C93B519C3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$B$11">
            <a:extLst>
              <a:ext uri="{FF2B5EF4-FFF2-40B4-BE49-F238E27FC236}">
                <a16:creationId xmlns:a16="http://schemas.microsoft.com/office/drawing/2014/main" id="{4654EC31-15B6-28EF-1AC5-60C31D9FC2D5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" name="$B$11">
            <a:extLst>
              <a:ext uri="{FF2B5EF4-FFF2-40B4-BE49-F238E27FC236}">
                <a16:creationId xmlns:a16="http://schemas.microsoft.com/office/drawing/2014/main" id="{D511A29C-5BD7-C8F2-BF1E-F1D39CD3C899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" name="$B$11">
            <a:extLst>
              <a:ext uri="{FF2B5EF4-FFF2-40B4-BE49-F238E27FC236}">
                <a16:creationId xmlns:a16="http://schemas.microsoft.com/office/drawing/2014/main" id="{99ABD108-B490-9A20-3D18-1735869F0D44}"/>
              </a:ext>
            </a:extLst>
          </xdr:cNvPr>
          <xdr:cNvSpPr/>
        </xdr:nvSpPr>
        <xdr:spPr>
          <a:xfrm>
            <a:off x="304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2" name="$B$11">
            <a:extLst>
              <a:ext uri="{FF2B5EF4-FFF2-40B4-BE49-F238E27FC236}">
                <a16:creationId xmlns:a16="http://schemas.microsoft.com/office/drawing/2014/main" id="{8B81602B-36C8-E9A5-89FB-DF3565BC3672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3" name="$B$11">
            <a:extLst>
              <a:ext uri="{FF2B5EF4-FFF2-40B4-BE49-F238E27FC236}">
                <a16:creationId xmlns:a16="http://schemas.microsoft.com/office/drawing/2014/main" id="{A9994191-6663-0897-7A56-C155CD344D3A}"/>
              </a:ext>
            </a:extLst>
          </xdr:cNvPr>
          <xdr:cNvSpPr/>
        </xdr:nvSpPr>
        <xdr:spPr>
          <a:xfrm>
            <a:off x="355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4" name="$B$11">
            <a:extLst>
              <a:ext uri="{FF2B5EF4-FFF2-40B4-BE49-F238E27FC236}">
                <a16:creationId xmlns:a16="http://schemas.microsoft.com/office/drawing/2014/main" id="{F90B2BD2-03CE-0CDE-8920-28F9F1CA484B}"/>
              </a:ext>
            </a:extLst>
          </xdr:cNvPr>
          <xdr:cNvSpPr/>
        </xdr:nvSpPr>
        <xdr:spPr>
          <a:xfrm>
            <a:off x="406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5" name="$B$11">
            <a:extLst>
              <a:ext uri="{FF2B5EF4-FFF2-40B4-BE49-F238E27FC236}">
                <a16:creationId xmlns:a16="http://schemas.microsoft.com/office/drawing/2014/main" id="{BBB1910A-F0EE-DAA5-52C6-B62E6D9BD33F}"/>
              </a:ext>
            </a:extLst>
          </xdr:cNvPr>
          <xdr:cNvSpPr/>
        </xdr:nvSpPr>
        <xdr:spPr>
          <a:xfrm>
            <a:off x="444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6" name="$B$11">
            <a:extLst>
              <a:ext uri="{FF2B5EF4-FFF2-40B4-BE49-F238E27FC236}">
                <a16:creationId xmlns:a16="http://schemas.microsoft.com/office/drawing/2014/main" id="{A8F60235-9028-A354-5CB0-A153E2900002}"/>
              </a:ext>
            </a:extLst>
          </xdr:cNvPr>
          <xdr:cNvSpPr/>
        </xdr:nvSpPr>
        <xdr:spPr>
          <a:xfrm>
            <a:off x="482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7" name="$B$11">
            <a:extLst>
              <a:ext uri="{FF2B5EF4-FFF2-40B4-BE49-F238E27FC236}">
                <a16:creationId xmlns:a16="http://schemas.microsoft.com/office/drawing/2014/main" id="{35193C67-4DF0-326F-1F15-41221D91A63D}"/>
              </a:ext>
            </a:extLst>
          </xdr:cNvPr>
          <xdr:cNvSpPr/>
        </xdr:nvSpPr>
        <xdr:spPr>
          <a:xfrm>
            <a:off x="520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8" name="$B$11">
            <a:extLst>
              <a:ext uri="{FF2B5EF4-FFF2-40B4-BE49-F238E27FC236}">
                <a16:creationId xmlns:a16="http://schemas.microsoft.com/office/drawing/2014/main" id="{1B9B979A-149A-D3D7-CBE9-31CA1672E638}"/>
              </a:ext>
            </a:extLst>
          </xdr:cNvPr>
          <xdr:cNvSpPr/>
        </xdr:nvSpPr>
        <xdr:spPr>
          <a:xfrm>
            <a:off x="546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9" name="$B$11">
            <a:extLst>
              <a:ext uri="{FF2B5EF4-FFF2-40B4-BE49-F238E27FC236}">
                <a16:creationId xmlns:a16="http://schemas.microsoft.com/office/drawing/2014/main" id="{BD77B17F-D738-7009-D417-8437A6E33901}"/>
              </a:ext>
            </a:extLst>
          </xdr:cNvPr>
          <xdr:cNvSpPr/>
        </xdr:nvSpPr>
        <xdr:spPr>
          <a:xfrm>
            <a:off x="584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0" name="$B$11">
            <a:extLst>
              <a:ext uri="{FF2B5EF4-FFF2-40B4-BE49-F238E27FC236}">
                <a16:creationId xmlns:a16="http://schemas.microsoft.com/office/drawing/2014/main" id="{F51FBA33-7DAF-97AA-C578-33390E9C86C7}"/>
              </a:ext>
            </a:extLst>
          </xdr:cNvPr>
          <xdr:cNvSpPr/>
        </xdr:nvSpPr>
        <xdr:spPr>
          <a:xfrm>
            <a:off x="622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1" name="$B$11">
            <a:extLst>
              <a:ext uri="{FF2B5EF4-FFF2-40B4-BE49-F238E27FC236}">
                <a16:creationId xmlns:a16="http://schemas.microsoft.com/office/drawing/2014/main" id="{562E8FB6-7113-E5AA-9828-C5E3DE4B898E}"/>
              </a:ext>
            </a:extLst>
          </xdr:cNvPr>
          <xdr:cNvSpPr/>
        </xdr:nvSpPr>
        <xdr:spPr>
          <a:xfrm>
            <a:off x="660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2" name="$B$11">
            <a:extLst>
              <a:ext uri="{FF2B5EF4-FFF2-40B4-BE49-F238E27FC236}">
                <a16:creationId xmlns:a16="http://schemas.microsoft.com/office/drawing/2014/main" id="{2EEDA877-24F3-E5E1-5331-3C9185F3F08A}"/>
              </a:ext>
            </a:extLst>
          </xdr:cNvPr>
          <xdr:cNvSpPr/>
        </xdr:nvSpPr>
        <xdr:spPr>
          <a:xfrm>
            <a:off x="711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3" name="$B$11">
            <a:extLst>
              <a:ext uri="{FF2B5EF4-FFF2-40B4-BE49-F238E27FC236}">
                <a16:creationId xmlns:a16="http://schemas.microsoft.com/office/drawing/2014/main" id="{4CFED0B8-DB5B-A556-0A2D-2278079E56D4}"/>
              </a:ext>
            </a:extLst>
          </xdr:cNvPr>
          <xdr:cNvSpPr/>
        </xdr:nvSpPr>
        <xdr:spPr>
          <a:xfrm>
            <a:off x="736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4" name="$B$11">
            <a:extLst>
              <a:ext uri="{FF2B5EF4-FFF2-40B4-BE49-F238E27FC236}">
                <a16:creationId xmlns:a16="http://schemas.microsoft.com/office/drawing/2014/main" id="{8CD4A035-AA06-B286-92CE-1DD0DFDFA2FD}"/>
              </a:ext>
            </a:extLst>
          </xdr:cNvPr>
          <xdr:cNvSpPr/>
        </xdr:nvSpPr>
        <xdr:spPr>
          <a:xfrm>
            <a:off x="762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5" name="$B$11">
            <a:extLst>
              <a:ext uri="{FF2B5EF4-FFF2-40B4-BE49-F238E27FC236}">
                <a16:creationId xmlns:a16="http://schemas.microsoft.com/office/drawing/2014/main" id="{6CAEA52E-D518-9A37-45B6-36CAB4ADD15C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6" name="$B$11">
            <a:extLst>
              <a:ext uri="{FF2B5EF4-FFF2-40B4-BE49-F238E27FC236}">
                <a16:creationId xmlns:a16="http://schemas.microsoft.com/office/drawing/2014/main" id="{CDB2F134-55E0-71AB-83AF-EAA07BA8AB45}"/>
              </a:ext>
            </a:extLst>
          </xdr:cNvPr>
          <xdr:cNvSpPr/>
        </xdr:nvSpPr>
        <xdr:spPr>
          <a:xfrm>
            <a:off x="8128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7" name="$B$11">
            <a:extLst>
              <a:ext uri="{FF2B5EF4-FFF2-40B4-BE49-F238E27FC236}">
                <a16:creationId xmlns:a16="http://schemas.microsoft.com/office/drawing/2014/main" id="{B6659E6F-70DF-F0BB-040E-3BD863E93FD8}"/>
              </a:ext>
            </a:extLst>
          </xdr:cNvPr>
          <xdr:cNvSpPr/>
        </xdr:nvSpPr>
        <xdr:spPr>
          <a:xfrm>
            <a:off x="863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8" name="$B$11">
            <a:extLst>
              <a:ext uri="{FF2B5EF4-FFF2-40B4-BE49-F238E27FC236}">
                <a16:creationId xmlns:a16="http://schemas.microsoft.com/office/drawing/2014/main" id="{C34927D9-055D-03F7-2778-1878656B8E8A}"/>
              </a:ext>
            </a:extLst>
          </xdr:cNvPr>
          <xdr:cNvSpPr/>
        </xdr:nvSpPr>
        <xdr:spPr>
          <a:xfrm>
            <a:off x="914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9" name="$B$11">
            <a:extLst>
              <a:ext uri="{FF2B5EF4-FFF2-40B4-BE49-F238E27FC236}">
                <a16:creationId xmlns:a16="http://schemas.microsoft.com/office/drawing/2014/main" id="{CE40D398-8949-F304-F432-48B8A8549725}"/>
              </a:ext>
            </a:extLst>
          </xdr:cNvPr>
          <xdr:cNvSpPr/>
        </xdr:nvSpPr>
        <xdr:spPr>
          <a:xfrm>
            <a:off x="939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0" name="$B$11">
            <a:extLst>
              <a:ext uri="{FF2B5EF4-FFF2-40B4-BE49-F238E27FC236}">
                <a16:creationId xmlns:a16="http://schemas.microsoft.com/office/drawing/2014/main" id="{6DD8F3D8-BA8A-9E2B-5B53-495E0A18AE0F}"/>
              </a:ext>
            </a:extLst>
          </xdr:cNvPr>
          <xdr:cNvSpPr/>
        </xdr:nvSpPr>
        <xdr:spPr>
          <a:xfrm>
            <a:off x="965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1" name="$B$11">
            <a:extLst>
              <a:ext uri="{FF2B5EF4-FFF2-40B4-BE49-F238E27FC236}">
                <a16:creationId xmlns:a16="http://schemas.microsoft.com/office/drawing/2014/main" id="{A8F82171-A3C8-B1BE-1185-3211FE7E0030}"/>
              </a:ext>
            </a:extLst>
          </xdr:cNvPr>
          <xdr:cNvSpPr/>
        </xdr:nvSpPr>
        <xdr:spPr>
          <a:xfrm>
            <a:off x="990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2" name="$B$11">
            <a:extLst>
              <a:ext uri="{FF2B5EF4-FFF2-40B4-BE49-F238E27FC236}">
                <a16:creationId xmlns:a16="http://schemas.microsoft.com/office/drawing/2014/main" id="{7E713863-4120-48B7-E2FA-2D180F5AC411}"/>
              </a:ext>
            </a:extLst>
          </xdr:cNvPr>
          <xdr:cNvSpPr/>
        </xdr:nvSpPr>
        <xdr:spPr>
          <a:xfrm>
            <a:off x="1041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3" name="$B$11">
            <a:extLst>
              <a:ext uri="{FF2B5EF4-FFF2-40B4-BE49-F238E27FC236}">
                <a16:creationId xmlns:a16="http://schemas.microsoft.com/office/drawing/2014/main" id="{538D0964-A667-CC46-820D-CA6096AA8ED6}"/>
              </a:ext>
            </a:extLst>
          </xdr:cNvPr>
          <xdr:cNvSpPr/>
        </xdr:nvSpPr>
        <xdr:spPr>
          <a:xfrm>
            <a:off x="1092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$B$11">
            <a:extLst>
              <a:ext uri="{FF2B5EF4-FFF2-40B4-BE49-F238E27FC236}">
                <a16:creationId xmlns:a16="http://schemas.microsoft.com/office/drawing/2014/main" id="{B7D4C5F2-003C-49EC-7845-3E41483D66B9}"/>
              </a:ext>
            </a:extLst>
          </xdr:cNvPr>
          <xdr:cNvSpPr/>
        </xdr:nvSpPr>
        <xdr:spPr>
          <a:xfrm>
            <a:off x="1117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5" name="$B$11">
            <a:extLst>
              <a:ext uri="{FF2B5EF4-FFF2-40B4-BE49-F238E27FC236}">
                <a16:creationId xmlns:a16="http://schemas.microsoft.com/office/drawing/2014/main" id="{EAEFF122-18DF-6243-2AF6-5EBDB0A2A98B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6" name="$B$11">
            <a:extLst>
              <a:ext uri="{FF2B5EF4-FFF2-40B4-BE49-F238E27FC236}">
                <a16:creationId xmlns:a16="http://schemas.microsoft.com/office/drawing/2014/main" id="{63FFD785-2525-49B7-9A64-910F01F1E8A6}"/>
              </a:ext>
            </a:extLst>
          </xdr:cNvPr>
          <xdr:cNvSpPr/>
        </xdr:nvSpPr>
        <xdr:spPr>
          <a:xfrm>
            <a:off x="1193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7" name="$B$11">
            <a:extLst>
              <a:ext uri="{FF2B5EF4-FFF2-40B4-BE49-F238E27FC236}">
                <a16:creationId xmlns:a16="http://schemas.microsoft.com/office/drawing/2014/main" id="{EEAFFFEF-8875-0A3F-8E97-9AC0628B83B4}"/>
              </a:ext>
            </a:extLst>
          </xdr:cNvPr>
          <xdr:cNvSpPr/>
        </xdr:nvSpPr>
        <xdr:spPr>
          <a:xfrm>
            <a:off x="1219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8" name="$B$11">
            <a:extLst>
              <a:ext uri="{FF2B5EF4-FFF2-40B4-BE49-F238E27FC236}">
                <a16:creationId xmlns:a16="http://schemas.microsoft.com/office/drawing/2014/main" id="{03B25EDC-FF71-9641-F243-A9319E8271C0}"/>
              </a:ext>
            </a:extLst>
          </xdr:cNvPr>
          <xdr:cNvSpPr/>
        </xdr:nvSpPr>
        <xdr:spPr>
          <a:xfrm>
            <a:off x="12573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" name="$B$11">
            <a:extLst>
              <a:ext uri="{FF2B5EF4-FFF2-40B4-BE49-F238E27FC236}">
                <a16:creationId xmlns:a16="http://schemas.microsoft.com/office/drawing/2014/main" id="{07FF6B44-9825-C903-B9AF-E97C715C81EE}"/>
              </a:ext>
            </a:extLst>
          </xdr:cNvPr>
          <xdr:cNvSpPr/>
        </xdr:nvSpPr>
        <xdr:spPr>
          <a:xfrm>
            <a:off x="1295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" name="$B$11">
            <a:extLst>
              <a:ext uri="{FF2B5EF4-FFF2-40B4-BE49-F238E27FC236}">
                <a16:creationId xmlns:a16="http://schemas.microsoft.com/office/drawing/2014/main" id="{19312E4E-37C7-5503-DA59-D0642CEA9F35}"/>
              </a:ext>
            </a:extLst>
          </xdr:cNvPr>
          <xdr:cNvSpPr/>
        </xdr:nvSpPr>
        <xdr:spPr>
          <a:xfrm>
            <a:off x="1333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D44BA-FE8E-45BC-B12D-399BC0F34BC4}">
  <sheetPr codeName="Sheet1"/>
  <dimension ref="A1:F11"/>
  <sheetViews>
    <sheetView workbookViewId="0">
      <selection activeCell="B1" sqref="B1"/>
    </sheetView>
  </sheetViews>
  <sheetFormatPr defaultRowHeight="14.4" x14ac:dyDescent="0.3"/>
  <cols>
    <col min="1" max="1" width="14.109375" bestFit="1" customWidth="1"/>
    <col min="2" max="2" width="35.109375" customWidth="1"/>
    <col min="3" max="3" width="21.77734375" customWidth="1"/>
    <col min="4" max="4" width="22.77734375" customWidth="1"/>
    <col min="5" max="5" width="24" customWidth="1"/>
    <col min="6" max="6" width="18.88671875" customWidth="1"/>
  </cols>
  <sheetData>
    <row r="1" spans="1:6" ht="112.2" customHeight="1" x14ac:dyDescent="0.3">
      <c r="A1">
        <v>123456789</v>
      </c>
      <c r="B1" t="str" cm="1">
        <f t="array" ref="B1">PDF_417(A1)</f>
        <v/>
      </c>
      <c r="C1" t="str" cm="1">
        <f t="array" ref="C1">[0]!QRCode(A1)</f>
        <v/>
      </c>
      <c r="D1" t="str" cm="1">
        <f t="array" ref="D1">[0]!DataMatrix(A1)</f>
        <v/>
      </c>
      <c r="E1" t="str" cm="1">
        <f t="array" ref="E1">[0]!Code128(A1)</f>
        <v/>
      </c>
      <c r="F1" t="str" cm="1">
        <f t="array" ref="F1">[0]!Aztec(A1)</f>
        <v/>
      </c>
    </row>
    <row r="2" spans="1:6" ht="113.4" customHeight="1" x14ac:dyDescent="0.3">
      <c r="A2" t="s">
        <v>0</v>
      </c>
      <c r="B2" t="str" cm="1">
        <f t="array" ref="B2">PDF_417(A2)</f>
        <v/>
      </c>
      <c r="C2" t="str" cm="1">
        <f t="array" ref="C2">[0]!QRCode(A2)</f>
        <v/>
      </c>
      <c r="D2" t="str" cm="1">
        <f t="array" ref="D2">[0]!DataMatrix(A2)</f>
        <v/>
      </c>
      <c r="E2" t="str" cm="1">
        <f t="array" ref="E2">[0]!Code128(A2)</f>
        <v/>
      </c>
      <c r="F2" t="str" cm="1">
        <f t="array" ref="F2">[0]!Aztec(A2)</f>
        <v/>
      </c>
    </row>
    <row r="3" spans="1:6" ht="21" customHeight="1" x14ac:dyDescent="0.3">
      <c r="A3" s="1" t="s">
        <v>1</v>
      </c>
      <c r="B3" t="str" cm="1">
        <f t="array" ref="B3">UPCA(A3)</f>
        <v/>
      </c>
      <c r="C3" t="s">
        <v>10</v>
      </c>
    </row>
    <row r="4" spans="1:6" ht="21" customHeight="1" x14ac:dyDescent="0.3">
      <c r="A4" s="1" t="s">
        <v>2</v>
      </c>
      <c r="B4" t="str" cm="1">
        <f t="array" ref="B4">UPCE(A4)</f>
        <v/>
      </c>
      <c r="C4" t="s">
        <v>11</v>
      </c>
    </row>
    <row r="5" spans="1:6" ht="21" customHeight="1" x14ac:dyDescent="0.3">
      <c r="A5" s="1" t="s">
        <v>3</v>
      </c>
      <c r="B5" t="str" cm="1">
        <f t="array" ref="B5">EAN_13(A5)</f>
        <v/>
      </c>
      <c r="C5" t="s">
        <v>12</v>
      </c>
    </row>
    <row r="6" spans="1:6" ht="21" customHeight="1" x14ac:dyDescent="0.3">
      <c r="A6" s="1" t="s">
        <v>4</v>
      </c>
      <c r="B6" t="str" cm="1">
        <f t="array" ref="B6">UPCA(A6)</f>
        <v/>
      </c>
      <c r="C6" t="s">
        <v>13</v>
      </c>
    </row>
    <row r="7" spans="1:6" ht="21" customHeight="1" x14ac:dyDescent="0.3">
      <c r="A7" s="1" t="s">
        <v>5</v>
      </c>
      <c r="B7" t="str" cm="1">
        <f t="array" ref="B7">EAN_5(A7)</f>
        <v/>
      </c>
      <c r="C7" t="s">
        <v>14</v>
      </c>
    </row>
    <row r="8" spans="1:6" ht="21" customHeight="1" x14ac:dyDescent="0.3">
      <c r="A8" s="1" t="s">
        <v>6</v>
      </c>
      <c r="B8" t="str" cm="1">
        <f t="array" ref="B8">EAN_2(A8)</f>
        <v/>
      </c>
      <c r="C8" t="s">
        <v>15</v>
      </c>
    </row>
    <row r="9" spans="1:6" ht="21" customHeight="1" x14ac:dyDescent="0.3">
      <c r="A9" t="s">
        <v>7</v>
      </c>
      <c r="B9" t="str" cm="1">
        <f t="array" ref="B9">Code39(A9)</f>
        <v/>
      </c>
      <c r="C9" t="s">
        <v>16</v>
      </c>
    </row>
    <row r="10" spans="1:6" ht="21" customHeight="1" x14ac:dyDescent="0.3">
      <c r="A10" s="1" t="s">
        <v>8</v>
      </c>
      <c r="B10" t="str" cm="1">
        <f t="array" ref="B10">Code11(A10)</f>
        <v/>
      </c>
      <c r="C10" t="s">
        <v>17</v>
      </c>
    </row>
    <row r="11" spans="1:6" ht="21" customHeight="1" x14ac:dyDescent="0.3">
      <c r="A11" s="1" t="s">
        <v>9</v>
      </c>
      <c r="B11" t="str" cm="1">
        <f t="array" ref="B11">Code93(A11)</f>
        <v/>
      </c>
      <c r="C11" t="s">
        <v>18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F7B94-AAA0-45F7-A4A0-8CCD3C97C472}">
  <sheetPr codeName="Sheet2"/>
  <dimension ref="A1:C11"/>
  <sheetViews>
    <sheetView tabSelected="1" workbookViewId="0"/>
  </sheetViews>
  <sheetFormatPr defaultRowHeight="14.4" x14ac:dyDescent="0.3"/>
  <cols>
    <col min="1" max="1" width="15.109375" bestFit="1" customWidth="1"/>
    <col min="2" max="2" width="35.21875" customWidth="1"/>
  </cols>
  <sheetData>
    <row r="1" spans="1:3" ht="28.8" customHeight="1" x14ac:dyDescent="0.3">
      <c r="A1" s="1" t="s">
        <v>1</v>
      </c>
      <c r="B1" t="str" cm="1">
        <f t="array" ref="B1">UPCA(A1)</f>
        <v/>
      </c>
      <c r="C1" t="s">
        <v>10</v>
      </c>
    </row>
    <row r="2" spans="1:3" ht="28.8" customHeight="1" x14ac:dyDescent="0.3">
      <c r="A2" s="1" t="s">
        <v>2</v>
      </c>
      <c r="B2" t="str" cm="1">
        <f t="array" ref="B2">UPCE(A2)</f>
        <v/>
      </c>
      <c r="C2" t="s">
        <v>11</v>
      </c>
    </row>
    <row r="3" spans="1:3" ht="28.8" customHeight="1" x14ac:dyDescent="0.3">
      <c r="A3" s="1" t="s">
        <v>3</v>
      </c>
      <c r="B3" t="str" cm="1">
        <f t="array" ref="B3">EAN_13(A3)</f>
        <v/>
      </c>
      <c r="C3" t="s">
        <v>12</v>
      </c>
    </row>
    <row r="4" spans="1:3" ht="28.8" customHeight="1" x14ac:dyDescent="0.3">
      <c r="A4" s="1" t="s">
        <v>4</v>
      </c>
      <c r="B4" t="str" cm="1">
        <f t="array" ref="B4">UPCA(A4)</f>
        <v/>
      </c>
      <c r="C4" t="s">
        <v>13</v>
      </c>
    </row>
    <row r="5" spans="1:3" ht="28.8" customHeight="1" x14ac:dyDescent="0.3">
      <c r="A5" s="1" t="s">
        <v>5</v>
      </c>
      <c r="B5" t="str" cm="1">
        <f t="array" ref="B5">EAN_5(A5)</f>
        <v/>
      </c>
      <c r="C5" t="s">
        <v>14</v>
      </c>
    </row>
    <row r="6" spans="1:3" ht="28.8" customHeight="1" x14ac:dyDescent="0.3">
      <c r="A6" s="1" t="s">
        <v>6</v>
      </c>
      <c r="B6" t="str" cm="1">
        <f t="array" ref="B6">EAN_2(A6)</f>
        <v/>
      </c>
      <c r="C6" t="s">
        <v>15</v>
      </c>
    </row>
    <row r="7" spans="1:3" ht="28.8" customHeight="1" x14ac:dyDescent="0.3">
      <c r="A7" t="s">
        <v>7</v>
      </c>
      <c r="B7" t="str" cm="1">
        <f t="array" ref="B7">Code39(A7)</f>
        <v/>
      </c>
      <c r="C7" t="s">
        <v>16</v>
      </c>
    </row>
    <row r="8" spans="1:3" ht="28.8" customHeight="1" x14ac:dyDescent="0.3">
      <c r="A8" s="1" t="s">
        <v>8</v>
      </c>
      <c r="B8" t="str" cm="1">
        <f t="array" ref="B8">Code11(A8)</f>
        <v/>
      </c>
      <c r="C8" t="s">
        <v>17</v>
      </c>
    </row>
    <row r="9" spans="1:3" ht="28.8" customHeight="1" x14ac:dyDescent="0.3">
      <c r="A9" s="1" t="s">
        <v>9</v>
      </c>
      <c r="B9" t="str" cm="1">
        <f t="array" ref="B9">Code93(A9)</f>
        <v/>
      </c>
      <c r="C9" t="s">
        <v>18</v>
      </c>
    </row>
    <row r="10" spans="1:3" ht="28.8" customHeight="1" x14ac:dyDescent="0.3">
      <c r="A10" s="1" t="s">
        <v>20</v>
      </c>
      <c r="B10" t="str" cm="1">
        <f t="array" ref="B10">itf(A10)</f>
        <v/>
      </c>
      <c r="C10" t="s">
        <v>19</v>
      </c>
    </row>
    <row r="11" spans="1:3" ht="28.8" customHeight="1" x14ac:dyDescent="0.3">
      <c r="A11" s="1" t="s">
        <v>22</v>
      </c>
      <c r="B11" t="str" cm="1">
        <f t="array" ref="B11">ITF_14(A11)</f>
        <v/>
      </c>
      <c r="C11" t="s">
        <v>21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Barcode Fx 3.0</dc:title>
  <dc:creator>Andrew Hirakawa</dc:creator>
  <dc:description>Function library for barcodes</dc:description>
  <cp:lastModifiedBy>Andrew Hirakawa</cp:lastModifiedBy>
  <dcterms:created xsi:type="dcterms:W3CDTF">2021-03-28T11:00:18Z</dcterms:created>
  <dcterms:modified xsi:type="dcterms:W3CDTF">2023-05-14T02:52:47Z</dcterms:modified>
</cp:coreProperties>
</file>